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_Data" sheetId="1" r:id="rId4"/>
    <sheet state="visible" name="Sheet1" sheetId="2" r:id="rId5"/>
    <sheet state="visible" name="Parent_Data" sheetId="3" r:id="rId6"/>
    <sheet state="visible" name="Address_Data" sheetId="4" r:id="rId7"/>
    <sheet state="visible" name="Instructions" sheetId="5" r:id="rId8"/>
    <sheet state="visible" name="Sample_Data" sheetId="6" r:id="rId9"/>
  </sheets>
  <definedNames>
    <definedName hidden="1" localSheetId="0" name="Z_64002C4B_B4E7_4D8F_8302_356701B43A53_.wvu.FilterData">Student_Data!$B$1:$BA$1019</definedName>
    <definedName name="SlicerCache_Table_1_Col_1">#N/A</definedName>
  </definedNames>
  <calcPr/>
  <customWorkbookViews>
    <customWorkbookView activeSheetId="0" maximized="1" windowHeight="0" windowWidth="0" guid="{64002C4B-B4E7-4D8F-8302-356701B43A53}" name="Filter 1"/>
  </customWorkbookViews>
  <extLst>
    <ext uri="{46BE6895-7355-4a93-B00E-2C351335B9C9}">
      <x15:slicerCaches>
        <x14:slicerCache r:id="rId10"/>
      </x15:slicerCaches>
    </ext>
  </extLst>
</workbook>
</file>

<file path=xl/sharedStrings.xml><?xml version="1.0" encoding="utf-8"?>
<sst xmlns="http://schemas.openxmlformats.org/spreadsheetml/2006/main" count="3110" uniqueCount="1075">
  <si>
    <t>Role number</t>
  </si>
  <si>
    <t>Student_First_Name*</t>
  </si>
  <si>
    <t>Parent_First_Name*</t>
  </si>
  <si>
    <t>parent_father_name</t>
  </si>
  <si>
    <t>Class</t>
  </si>
  <si>
    <t>Student_Last_Name*</t>
  </si>
  <si>
    <t>Parent_Last_Name*</t>
  </si>
  <si>
    <t>Origin_Province</t>
  </si>
  <si>
    <t>Origin_Address</t>
  </si>
  <si>
    <t>Origin_City</t>
  </si>
  <si>
    <t>Current_State</t>
  </si>
  <si>
    <t>Current_Province</t>
  </si>
  <si>
    <t>Current_Address</t>
  </si>
  <si>
    <t>Current_City</t>
  </si>
  <si>
    <t>Student_Date_of_Birth*</t>
  </si>
  <si>
    <t>Student_Tazkira_No</t>
  </si>
  <si>
    <t>Student_Gender*</t>
  </si>
  <si>
    <t>Caste</t>
  </si>
  <si>
    <t>Previous_School</t>
  </si>
  <si>
    <t>Parent_Phone*</t>
  </si>
  <si>
    <t>Student_Display_Name</t>
  </si>
  <si>
    <t>Student_Username*</t>
  </si>
  <si>
    <t>Student_Phone*</t>
  </si>
  <si>
    <t>Student_Bio</t>
  </si>
  <si>
    <t>Admission_Date*</t>
  </si>
  <si>
    <t>Blood_Group</t>
  </si>
  <si>
    <t>Nationality</t>
  </si>
  <si>
    <t>Religion</t>
  </si>
  <si>
    <t>Aadhar_No</t>
  </si>
  <si>
    <t>Student_Tazkira_No_2</t>
  </si>
  <si>
    <t>Bank_Account_No</t>
  </si>
  <si>
    <t>Bank_Name</t>
  </si>
  <si>
    <t>IFSC_Code</t>
  </si>
  <si>
    <t>Student_Middle_Name</t>
  </si>
  <si>
    <t>Parent_Display_Name</t>
  </si>
  <si>
    <t>Parent_Username*</t>
  </si>
  <si>
    <t>Parent_Gender*</t>
  </si>
  <si>
    <t>Parent_Birth_Date*</t>
  </si>
  <si>
    <t>Parent_Tazkira_No</t>
  </si>
  <si>
    <t>Parent_Bio</t>
  </si>
  <si>
    <t>Occupation</t>
  </si>
  <si>
    <t>Annual_Income</t>
  </si>
  <si>
    <t>Education</t>
  </si>
  <si>
    <t>Employer</t>
  </si>
  <si>
    <t>Designation</t>
  </si>
  <si>
    <t>Work_Phone</t>
  </si>
  <si>
    <t>Emergency_Contact</t>
  </si>
  <si>
    <t>Relationship</t>
  </si>
  <si>
    <t>Is_Guardian</t>
  </si>
  <si>
    <t>Origin_State</t>
  </si>
  <si>
    <t>Origin_Country</t>
  </si>
  <si>
    <t>Origin_Postal_Code</t>
  </si>
  <si>
    <t>Current_Country</t>
  </si>
  <si>
    <t>Current_Postal_Code</t>
  </si>
  <si>
    <t>Anas</t>
  </si>
  <si>
    <t>Muhammad Sami</t>
  </si>
  <si>
    <t>Muhmmad Gulab</t>
  </si>
  <si>
    <t>Aimaq</t>
  </si>
  <si>
    <t>konduz</t>
  </si>
  <si>
    <t>null</t>
  </si>
  <si>
    <t>makroyan-3</t>
  </si>
  <si>
    <t>kabul</t>
  </si>
  <si>
    <t>1401-1201-80336</t>
  </si>
  <si>
    <t>Male</t>
  </si>
  <si>
    <t>Tajik</t>
  </si>
  <si>
    <t>Abdul Hadi Davi School</t>
  </si>
  <si>
    <t>Afghan</t>
  </si>
  <si>
    <t>Islam</t>
  </si>
  <si>
    <t>Jobless</t>
  </si>
  <si>
    <t>Afghanistan</t>
  </si>
  <si>
    <t xml:space="preserve">Ahmad Yasser </t>
  </si>
  <si>
    <t xml:space="preserve">Mohammad Sami </t>
  </si>
  <si>
    <t>Kabul</t>
  </si>
  <si>
    <t>1401-1201-80516</t>
  </si>
  <si>
    <t>Ahmad Shahir</t>
  </si>
  <si>
    <t>Ahmad Samim</t>
  </si>
  <si>
    <t>Mostaqem</t>
  </si>
  <si>
    <t>Safi</t>
  </si>
  <si>
    <t>kunar</t>
  </si>
  <si>
    <t>distrcit 10</t>
  </si>
  <si>
    <t>Qal-e katira bibi mahroo district 10</t>
  </si>
  <si>
    <t>1398-1100-43676</t>
  </si>
  <si>
    <t>Pashtoon</t>
  </si>
  <si>
    <t>Omid School</t>
  </si>
  <si>
    <t>governmental emplyee</t>
  </si>
  <si>
    <t xml:space="preserve">Omran </t>
  </si>
  <si>
    <t>Mohammad Dawood</t>
  </si>
  <si>
    <t>Hemat zada</t>
  </si>
  <si>
    <t>Kapisa</t>
  </si>
  <si>
    <t>1400-1001-01456</t>
  </si>
  <si>
    <t>Tashwik school</t>
  </si>
  <si>
    <t>Muatafa</t>
  </si>
  <si>
    <t xml:space="preserve">Akhter Mohammad </t>
  </si>
  <si>
    <t>Dawari</t>
  </si>
  <si>
    <t>Helmand</t>
  </si>
  <si>
    <t>1400-0405-37982</t>
  </si>
  <si>
    <t>Amani School</t>
  </si>
  <si>
    <t>1399-1105-44656</t>
  </si>
  <si>
    <t>Mohmmad quraish</t>
  </si>
  <si>
    <t>Mohammad Samir</t>
  </si>
  <si>
    <t>Muhammad Saboor</t>
  </si>
  <si>
    <t>Sarwary</t>
  </si>
  <si>
    <t>Bagrami</t>
  </si>
  <si>
    <t xml:space="preserve">Bagrami </t>
  </si>
  <si>
    <t>1401-0100-56774</t>
  </si>
  <si>
    <t>Mashal Private School</t>
  </si>
  <si>
    <t>Self Employee</t>
  </si>
  <si>
    <t xml:space="preserve">Mohammad Ismail </t>
  </si>
  <si>
    <t>Hakim Khan</t>
  </si>
  <si>
    <t>Momand</t>
  </si>
  <si>
    <t>Ningarhar</t>
  </si>
  <si>
    <t>Nangarhar</t>
  </si>
  <si>
    <t>Makroyan-4</t>
  </si>
  <si>
    <t>1401-0300-60160</t>
  </si>
  <si>
    <t>Sardar Mohammad Dawood Khan</t>
  </si>
  <si>
    <t>Faisal</t>
  </si>
  <si>
    <t>Mohammad Jamil</t>
  </si>
  <si>
    <t>Abdul Jalil</t>
  </si>
  <si>
    <t>Wardak</t>
  </si>
  <si>
    <t>central chak</t>
  </si>
  <si>
    <t>chak</t>
  </si>
  <si>
    <t>distrcit 5</t>
  </si>
  <si>
    <t>Qal-e nazer disrict-5</t>
  </si>
  <si>
    <t>Hamisha bahar private school</t>
  </si>
  <si>
    <t>Ahmad  Bilal</t>
  </si>
  <si>
    <t>Mohammad Akbar</t>
  </si>
  <si>
    <t>Shamsullah</t>
  </si>
  <si>
    <t>Faizi</t>
  </si>
  <si>
    <t>district 10</t>
  </si>
  <si>
    <t>bibi mahroo</t>
  </si>
  <si>
    <t>1402-0301-79318</t>
  </si>
  <si>
    <t>Noor Afshan high school</t>
  </si>
  <si>
    <t>Mujtaba</t>
  </si>
  <si>
    <t>Mustafa</t>
  </si>
  <si>
    <t>Muhmmad Naieem</t>
  </si>
  <si>
    <t>Noori</t>
  </si>
  <si>
    <t>district 9</t>
  </si>
  <si>
    <t xml:space="preserve">Makroyan </t>
  </si>
  <si>
    <t>1400-0201-47862</t>
  </si>
  <si>
    <t>Andisha mowlana high school</t>
  </si>
  <si>
    <t>Mohammad Yousof</t>
  </si>
  <si>
    <t>Mohammad Yaqoob</t>
  </si>
  <si>
    <t>Amiri</t>
  </si>
  <si>
    <t>1400-0900-41242</t>
  </si>
  <si>
    <t>Arman Zahid</t>
  </si>
  <si>
    <t>Abdul Mosawer</t>
  </si>
  <si>
    <t xml:space="preserve">Emal </t>
  </si>
  <si>
    <t>Raufi</t>
  </si>
  <si>
    <t>Makroyan 3</t>
  </si>
  <si>
    <t>1399-1002-01202</t>
  </si>
  <si>
    <t>Jahan number 2</t>
  </si>
  <si>
    <t>Dockter</t>
  </si>
  <si>
    <t>Mujeeb U Rahman</t>
  </si>
  <si>
    <t>Abdul Saboor</t>
  </si>
  <si>
    <t>Abdul Samad</t>
  </si>
  <si>
    <t>Ahmadzai</t>
  </si>
  <si>
    <t>Logar</t>
  </si>
  <si>
    <t>district 8</t>
  </si>
  <si>
    <t>Kart-e-naw</t>
  </si>
  <si>
    <t>1399-1000-30268</t>
  </si>
  <si>
    <t>Muhammad Hashim Maiwandwal</t>
  </si>
  <si>
    <t>Officer</t>
  </si>
  <si>
    <t>Amir Muhammad</t>
  </si>
  <si>
    <t>Abdul saber</t>
  </si>
  <si>
    <t>Haji muhammad by</t>
  </si>
  <si>
    <t>Mohammadi</t>
  </si>
  <si>
    <t>Baghlan</t>
  </si>
  <si>
    <t>Dashti  Amrood</t>
  </si>
  <si>
    <t>Rahnawad Noor high school</t>
  </si>
  <si>
    <t>Bibi Bilqees</t>
  </si>
  <si>
    <t>Ahmad Waleed</t>
  </si>
  <si>
    <t>Female</t>
  </si>
  <si>
    <t>Kainat</t>
  </si>
  <si>
    <t xml:space="preserve">Mohammad Yaqoob </t>
  </si>
  <si>
    <t>Aziz</t>
  </si>
  <si>
    <t xml:space="preserve">Kapisa </t>
  </si>
  <si>
    <t>Khairkhana</t>
  </si>
  <si>
    <t>1400-0900-41711</t>
  </si>
  <si>
    <t>Etemad number 1 high school</t>
  </si>
  <si>
    <t>Abdul Rahman</t>
  </si>
  <si>
    <t>Habib Rahman</t>
  </si>
  <si>
    <t>Sharif</t>
  </si>
  <si>
    <t>fayeq</t>
  </si>
  <si>
    <t>Fayeq</t>
  </si>
  <si>
    <t>Badakhshan</t>
  </si>
  <si>
    <t>PPS</t>
  </si>
  <si>
    <t>Frogh</t>
  </si>
  <si>
    <t>Asadullah</t>
  </si>
  <si>
    <t>Aziziuallah</t>
  </si>
  <si>
    <t xml:space="preserve">null </t>
  </si>
  <si>
    <t xml:space="preserve"> Macroyan-3 districe-9</t>
  </si>
  <si>
    <t>Amani high school</t>
  </si>
  <si>
    <t xml:space="preserve">Mustafa </t>
  </si>
  <si>
    <t>Abujan</t>
  </si>
  <si>
    <t>Ahmad Mansoor</t>
  </si>
  <si>
    <t>Gul Muhmmad</t>
  </si>
  <si>
    <t>Nader Khan</t>
  </si>
  <si>
    <t>Hesarak distric</t>
  </si>
  <si>
    <t>Hisarak dirstric</t>
  </si>
  <si>
    <t>distric 9</t>
  </si>
  <si>
    <t>Nokhbagan shaher private school</t>
  </si>
  <si>
    <t>Sadiq</t>
  </si>
  <si>
    <t>Abdul Raziq</t>
  </si>
  <si>
    <t>Muhammad Elyas</t>
  </si>
  <si>
    <t>Afghan kabul high school</t>
  </si>
  <si>
    <t>Sana</t>
  </si>
  <si>
    <t>Muhmmad Yaqoob</t>
  </si>
  <si>
    <t>Muhmmad Aziz</t>
  </si>
  <si>
    <t>Kohistan sherkhan khel village</t>
  </si>
  <si>
    <t>Kohistan</t>
  </si>
  <si>
    <t>1400-0900-41671</t>
  </si>
  <si>
    <t>Kawish 2</t>
  </si>
  <si>
    <t xml:space="preserve">Ahmad Bilal </t>
  </si>
  <si>
    <t>gholam Mohaiuddin</t>
  </si>
  <si>
    <t>Gholam Mohammad</t>
  </si>
  <si>
    <t/>
  </si>
  <si>
    <t>Muhammad Osman</t>
  </si>
  <si>
    <t>Abdul hadi</t>
  </si>
  <si>
    <t>Gulab Shah</t>
  </si>
  <si>
    <t>Nihan high school</t>
  </si>
  <si>
    <t>Fazel Rahman</t>
  </si>
  <si>
    <t>Ataurahman</t>
  </si>
  <si>
    <t>Emam Dad</t>
  </si>
  <si>
    <t>10/A</t>
  </si>
  <si>
    <t>zokor bibi mahro high school</t>
  </si>
  <si>
    <t>Muhammad Quraish</t>
  </si>
  <si>
    <t>Muhammad Sameer</t>
  </si>
  <si>
    <t>Mowlana jalaludden Balkhe private school</t>
  </si>
  <si>
    <t>Ahmad Bilal</t>
  </si>
  <si>
    <t>Ghulam Mahiuddin</t>
  </si>
  <si>
    <t>Ghulam Muhammad</t>
  </si>
  <si>
    <t>Takhar</t>
  </si>
  <si>
    <t>Rustaq</t>
  </si>
  <si>
    <t>Macroyan3</t>
  </si>
  <si>
    <t>Rana HIgh School</t>
  </si>
  <si>
    <t>Muhammad Tawhid</t>
  </si>
  <si>
    <t>Muhammad Tawfiq</t>
  </si>
  <si>
    <t>Muhammad hanif</t>
  </si>
  <si>
    <t>Younisi</t>
  </si>
  <si>
    <t>PD 9</t>
  </si>
  <si>
    <t>Khedmat High school</t>
  </si>
  <si>
    <t>Musadiq</t>
  </si>
  <si>
    <t>Abdul hadi davi school</t>
  </si>
  <si>
    <t>Fahim</t>
  </si>
  <si>
    <t>Muhammad haroon</t>
  </si>
  <si>
    <t>Lutfullah</t>
  </si>
  <si>
    <t>PD9</t>
  </si>
  <si>
    <t>Bibi mahro boys school</t>
  </si>
  <si>
    <t>Ferdaws</t>
  </si>
  <si>
    <t>Muhamamd haroon</t>
  </si>
  <si>
    <t>Masih</t>
  </si>
  <si>
    <t>Abdul qudoos</t>
  </si>
  <si>
    <t>Muhammad Omar</t>
  </si>
  <si>
    <t>Jahan no2 HIgh school</t>
  </si>
  <si>
    <t>Muhmmad Ismail</t>
  </si>
  <si>
    <t>Yaseen</t>
  </si>
  <si>
    <t>Ana school</t>
  </si>
  <si>
    <t>muhammad osman</t>
  </si>
  <si>
    <t>abdul hadi</t>
  </si>
  <si>
    <t>gulaab shah</t>
  </si>
  <si>
    <t>jahan no2 High school</t>
  </si>
  <si>
    <t>Muhammad yaqoob</t>
  </si>
  <si>
    <t xml:space="preserve">Muhammad halim </t>
  </si>
  <si>
    <t>muhammad nabi</t>
  </si>
  <si>
    <t>Abdul Haadi Dawi High school</t>
  </si>
  <si>
    <t>Bashir</t>
  </si>
  <si>
    <t>Muhammad Shakir</t>
  </si>
  <si>
    <t>Weeda high school</t>
  </si>
  <si>
    <t>Zabiullah</t>
  </si>
  <si>
    <t>hamidullah</t>
  </si>
  <si>
    <t>Yosufzai</t>
  </si>
  <si>
    <t>Noor Afghan Hgh school</t>
  </si>
  <si>
    <t>Mubashir</t>
  </si>
  <si>
    <t>Muhammad shakir</t>
  </si>
  <si>
    <t>Muhammad Yosuf</t>
  </si>
  <si>
    <t>Weeda igh school</t>
  </si>
  <si>
    <t>Muhmmad haleem</t>
  </si>
  <si>
    <t>Muhmmad nabi</t>
  </si>
  <si>
    <t>Muhammad sarir</t>
  </si>
  <si>
    <t>Muhammad saboor</t>
  </si>
  <si>
    <t>Nawi Mawlana Jalaludin High school</t>
  </si>
  <si>
    <t>Said Almaas</t>
  </si>
  <si>
    <t>Shukrullah</t>
  </si>
  <si>
    <t>Said Hakim</t>
  </si>
  <si>
    <t>Ahm mhaal Hugh school</t>
  </si>
  <si>
    <t>Muhammad Dawood</t>
  </si>
  <si>
    <t>Muhammad Yaqoob</t>
  </si>
  <si>
    <t>Abdul Hadi Dawi HIgh school</t>
  </si>
  <si>
    <t>Akhtar Muhammad</t>
  </si>
  <si>
    <t>Amani High school</t>
  </si>
  <si>
    <t>Rahimullah</t>
  </si>
  <si>
    <t xml:space="preserve">hazrat </t>
  </si>
  <si>
    <t>Faizullah</t>
  </si>
  <si>
    <t>Bibi mahro high school</t>
  </si>
  <si>
    <t xml:space="preserve">Ahmad Seyar </t>
  </si>
  <si>
    <t xml:space="preserve">Qutbuddin </t>
  </si>
  <si>
    <t>Sahmsuddin</t>
  </si>
  <si>
    <t>Afghan Kabul High school</t>
  </si>
  <si>
    <t xml:space="preserve">Said Abdullah </t>
  </si>
  <si>
    <t xml:space="preserve">Said Mujeeb </t>
  </si>
  <si>
    <t>Said najeeb</t>
  </si>
  <si>
    <t>Omar Farooq</t>
  </si>
  <si>
    <t>Fawad</t>
  </si>
  <si>
    <t>Taza Gull</t>
  </si>
  <si>
    <t>Hewad 2</t>
  </si>
  <si>
    <t>Muhammad tamjeed</t>
  </si>
  <si>
    <t>Muhammad Hanif</t>
  </si>
  <si>
    <t xml:space="preserve">Ali sina </t>
  </si>
  <si>
    <t>Zahir shah</t>
  </si>
  <si>
    <t xml:space="preserve">Said AHmad Ali </t>
  </si>
  <si>
    <t>Bibi Mahro Boys</t>
  </si>
  <si>
    <t>Eiman</t>
  </si>
  <si>
    <t>Naqeebullah</t>
  </si>
  <si>
    <t>AbdulAziz</t>
  </si>
  <si>
    <t>hasenat</t>
  </si>
  <si>
    <t>shukrullah</t>
  </si>
  <si>
    <t>said Hakim</t>
  </si>
  <si>
    <t>ahlul mahal high school</t>
  </si>
  <si>
    <t>Kayhan</t>
  </si>
  <si>
    <t>Hedayatullah</t>
  </si>
  <si>
    <t>Muhammad Zahir</t>
  </si>
  <si>
    <t>Azmoun high school</t>
  </si>
  <si>
    <t>Amanullah</t>
  </si>
  <si>
    <t>amrullah</t>
  </si>
  <si>
    <t>hamdullah</t>
  </si>
  <si>
    <t>nengarhar</t>
  </si>
  <si>
    <t>Kabul No3</t>
  </si>
  <si>
    <t xml:space="preserve">Hasheulhaq </t>
  </si>
  <si>
    <t>Muhammad qabool</t>
  </si>
  <si>
    <t>Ebrahimi</t>
  </si>
  <si>
    <t>1400-1203-80924</t>
  </si>
  <si>
    <t>Setayesh</t>
  </si>
  <si>
    <t>Samir</t>
  </si>
  <si>
    <t>Welayat Khan</t>
  </si>
  <si>
    <t>Dariz No.2 high school</t>
  </si>
  <si>
    <t>Shoaib Rahman</t>
  </si>
  <si>
    <t>Mahmood Rahman</t>
  </si>
  <si>
    <t xml:space="preserve">Gul Rahman </t>
  </si>
  <si>
    <t>Jahan No2 high school</t>
  </si>
  <si>
    <t>Taiba</t>
  </si>
  <si>
    <t>Ahmad Shah</t>
  </si>
  <si>
    <t>Najibullah</t>
  </si>
  <si>
    <t>Jahan No.2 high school</t>
  </si>
  <si>
    <t xml:space="preserve">Ahmad Jalil </t>
  </si>
  <si>
    <t>Ahmad Walid</t>
  </si>
  <si>
    <t>Muhammad Akbar</t>
  </si>
  <si>
    <t xml:space="preserve">Said rezwan </t>
  </si>
  <si>
    <t>said mahmod</t>
  </si>
  <si>
    <t xml:space="preserve">said yahya </t>
  </si>
  <si>
    <t xml:space="preserve">kabul </t>
  </si>
  <si>
    <t xml:space="preserve">male </t>
  </si>
  <si>
    <t>jahan number 2 high school</t>
  </si>
  <si>
    <t>Abrar</t>
  </si>
  <si>
    <t>Mudaser Ahmad</t>
  </si>
  <si>
    <t>Bashir AHmad</t>
  </si>
  <si>
    <t>Amani HIgh school</t>
  </si>
  <si>
    <t>Bismillah</t>
  </si>
  <si>
    <t>Mohammad Omar</t>
  </si>
  <si>
    <t>Abdul Wasi</t>
  </si>
  <si>
    <t>Abdul Shukor</t>
  </si>
  <si>
    <t>Zokor Bibi Mahro High School</t>
  </si>
  <si>
    <t>Ahmad Binyamin</t>
  </si>
  <si>
    <t xml:space="preserve">Muhammad kazim </t>
  </si>
  <si>
    <t>Muhammad Ayob</t>
  </si>
  <si>
    <t>Msle</t>
  </si>
  <si>
    <t>Orfan HIgh school</t>
  </si>
  <si>
    <t>Masihullah</t>
  </si>
  <si>
    <t>Shamsulrahman</t>
  </si>
  <si>
    <t>Menbar Private high school</t>
  </si>
  <si>
    <t>Ahmad Mosawer</t>
  </si>
  <si>
    <t>Jalat Khan</t>
  </si>
  <si>
    <t>Khedmat Hih school</t>
  </si>
  <si>
    <t>Adibullah</t>
  </si>
  <si>
    <t>Edris</t>
  </si>
  <si>
    <t>Shah Mohammad</t>
  </si>
  <si>
    <t>Ahmad Safa</t>
  </si>
  <si>
    <t>Menbar High school</t>
  </si>
  <si>
    <t>muhamad yusuf</t>
  </si>
  <si>
    <t xml:space="preserve">abdul maruf </t>
  </si>
  <si>
    <t xml:space="preserve">kardan high school </t>
  </si>
  <si>
    <t>Farzad</t>
  </si>
  <si>
    <t>Farhad</t>
  </si>
  <si>
    <t>Abdulhakim</t>
  </si>
  <si>
    <t>Abulqasem Ferdawsi high school</t>
  </si>
  <si>
    <t>Abdulhadi Dawi high school</t>
  </si>
  <si>
    <t>Munibruhamn</t>
  </si>
  <si>
    <t>Abdulrahman</t>
  </si>
  <si>
    <t>Abdul Ghani</t>
  </si>
  <si>
    <t>Kawish number 1 secondary school</t>
  </si>
  <si>
    <t xml:space="preserve">Yusuf rahman </t>
  </si>
  <si>
    <t>abdulrahman</t>
  </si>
  <si>
    <t>Muhammad Akabr</t>
  </si>
  <si>
    <t>Noor Afahan high school</t>
  </si>
  <si>
    <t>Sohail</t>
  </si>
  <si>
    <t>Shah Maqsoud</t>
  </si>
  <si>
    <t>Habibullah</t>
  </si>
  <si>
    <t>Emal</t>
  </si>
  <si>
    <t>Khair Mohammad</t>
  </si>
  <si>
    <t>Sahib Zada Private School</t>
  </si>
  <si>
    <t>Sumaya</t>
  </si>
  <si>
    <t>Abdulwaris</t>
  </si>
  <si>
    <t>Abdulbasir</t>
  </si>
  <si>
    <t>Etemad Kamel No.3 high school</t>
  </si>
  <si>
    <t>Muhammad Yaqoub</t>
  </si>
  <si>
    <t>Muhammad Aziz</t>
  </si>
  <si>
    <t>Etemad No.1 high school</t>
  </si>
  <si>
    <t xml:space="preserve">Said abdullah </t>
  </si>
  <si>
    <t xml:space="preserve">said mujib </t>
  </si>
  <si>
    <t xml:space="preserve">said najib </t>
  </si>
  <si>
    <t>Aziz aghan high school</t>
  </si>
  <si>
    <t>Mujtabah</t>
  </si>
  <si>
    <t>Mohammad Elham</t>
  </si>
  <si>
    <t>Ahmad  Jamshid</t>
  </si>
  <si>
    <t>Abdul Zaher</t>
  </si>
  <si>
    <t>male</t>
  </si>
  <si>
    <t>Naw Abad Primary school</t>
  </si>
  <si>
    <t>Shah Maqsood</t>
  </si>
  <si>
    <t>Abdul hadi Dawi High school</t>
  </si>
  <si>
    <t>Samiullah</t>
  </si>
  <si>
    <t>Amrullah</t>
  </si>
  <si>
    <t>Hamdullah</t>
  </si>
  <si>
    <t>Kabul Cambridge High school</t>
  </si>
  <si>
    <t>General worker</t>
  </si>
  <si>
    <t>Bibi belqis</t>
  </si>
  <si>
    <t xml:space="preserve">muhamad walid jan </t>
  </si>
  <si>
    <t xml:space="preserve">muhamad akber </t>
  </si>
  <si>
    <t xml:space="preserve">Kabul </t>
  </si>
  <si>
    <t>Ahmad Binyamen</t>
  </si>
  <si>
    <t>Muhammad Kazim</t>
  </si>
  <si>
    <t>Orfan private school</t>
  </si>
  <si>
    <t>Manizha</t>
  </si>
  <si>
    <t>Sahib nazar</t>
  </si>
  <si>
    <t>Khosh Nazar</t>
  </si>
  <si>
    <t>Chahar qala Secondary school</t>
  </si>
  <si>
    <t>Abdul Alim</t>
  </si>
  <si>
    <t>Abdul Qadir High School</t>
  </si>
  <si>
    <t>Sahra</t>
  </si>
  <si>
    <t>Abdulrashid Khan</t>
  </si>
  <si>
    <t>Omid high school</t>
  </si>
  <si>
    <t>Khalid</t>
  </si>
  <si>
    <t>Khalil Rahman</t>
  </si>
  <si>
    <t>Sakhi Muhammad</t>
  </si>
  <si>
    <t>Haji Abdul Qadeer high school</t>
  </si>
  <si>
    <t>Muhammad Reza</t>
  </si>
  <si>
    <t>Ziauddin</t>
  </si>
  <si>
    <t>Shamsuddin</t>
  </si>
  <si>
    <t>Khedmat high school</t>
  </si>
  <si>
    <t xml:space="preserve">Muhammad yusuf </t>
  </si>
  <si>
    <t xml:space="preserve">Muhammad aziz </t>
  </si>
  <si>
    <t>Etmad number 2 high school</t>
  </si>
  <si>
    <t>Muhammad zai</t>
  </si>
  <si>
    <t>Muhammad Yonus</t>
  </si>
  <si>
    <t>Abdul Samad Alkozai High School</t>
  </si>
  <si>
    <t>Sulaiman</t>
  </si>
  <si>
    <t>Sami</t>
  </si>
  <si>
    <t>Ghulam Muhai uddin</t>
  </si>
  <si>
    <t>Khane noor No.4 high school</t>
  </si>
  <si>
    <t xml:space="preserve">Subhan </t>
  </si>
  <si>
    <t>Ghula Muhai uddin</t>
  </si>
  <si>
    <t>PD12</t>
  </si>
  <si>
    <t>Khana noor No4</t>
  </si>
  <si>
    <t>Said Jalil</t>
  </si>
  <si>
    <t>Said Mukhtar</t>
  </si>
  <si>
    <t>Said kamal</t>
  </si>
  <si>
    <t>Abdul Qadir high School</t>
  </si>
  <si>
    <t>Muhammad Azmat</t>
  </si>
  <si>
    <t>Muhammad Azim</t>
  </si>
  <si>
    <t>Muhammad Azam</t>
  </si>
  <si>
    <t>Jahan No2 High School</t>
  </si>
  <si>
    <t>Saib Roman</t>
  </si>
  <si>
    <t>Said Hashim</t>
  </si>
  <si>
    <t>Abdul Haid davi high school</t>
  </si>
  <si>
    <t xml:space="preserve">Maryam nehan </t>
  </si>
  <si>
    <t xml:space="preserve">said akber </t>
  </si>
  <si>
    <t xml:space="preserve">said sarwer </t>
  </si>
  <si>
    <t xml:space="preserve">Female </t>
  </si>
  <si>
    <t>Jahan number 2 high school</t>
  </si>
  <si>
    <t>Ahmad SHaheer</t>
  </si>
  <si>
    <t>Noor Afghan High School</t>
  </si>
  <si>
    <t>Shoiab Rahman</t>
  </si>
  <si>
    <t>Muhmood Rahman</t>
  </si>
  <si>
    <t>Gul Rahman</t>
  </si>
  <si>
    <t>Jahan private school</t>
  </si>
  <si>
    <t>Yaser</t>
  </si>
  <si>
    <t>Amjad Khan</t>
  </si>
  <si>
    <t>Ghulam Yahya</t>
  </si>
  <si>
    <t>Menbar Private High school</t>
  </si>
  <si>
    <t>Rahima</t>
  </si>
  <si>
    <t>Muhammad Naser</t>
  </si>
  <si>
    <t>Muhammad Ghaws</t>
  </si>
  <si>
    <t>Sardar Dawood high school</t>
  </si>
  <si>
    <t>Abdul Musawer</t>
  </si>
  <si>
    <t>Esmail</t>
  </si>
  <si>
    <t>Abdul Maroof</t>
  </si>
  <si>
    <t>Kardan Hugh school</t>
  </si>
  <si>
    <t>Ahmad Jalil</t>
  </si>
  <si>
    <t>Ahmad Walid Jan</t>
  </si>
  <si>
    <t>Jawah number 2 private school</t>
  </si>
  <si>
    <t>Azizullah</t>
  </si>
  <si>
    <t>Amani High SChool</t>
  </si>
  <si>
    <t xml:space="preserve">Muhammad Haris </t>
  </si>
  <si>
    <t>Muhmammad Hamayoon</t>
  </si>
  <si>
    <t xml:space="preserve">Hazrat Khan </t>
  </si>
  <si>
    <t>Abdul Hadi Dawi High SChool</t>
  </si>
  <si>
    <t>Rohullah</t>
  </si>
  <si>
    <t>Abdu Qaiom</t>
  </si>
  <si>
    <t xml:space="preserve">Ahmad melad </t>
  </si>
  <si>
    <t xml:space="preserve">Fahim </t>
  </si>
  <si>
    <t xml:space="preserve">jalat khan </t>
  </si>
  <si>
    <t xml:space="preserve">Male </t>
  </si>
  <si>
    <t>khedmat high school</t>
  </si>
  <si>
    <t>Shamsurahman</t>
  </si>
  <si>
    <t>Sabz private school</t>
  </si>
  <si>
    <t>Naqibullah</t>
  </si>
  <si>
    <t>Abdul Aziz</t>
  </si>
  <si>
    <t>Azizi</t>
  </si>
  <si>
    <t>Bibi Mahri boys</t>
  </si>
  <si>
    <t>Said Ferdaws</t>
  </si>
  <si>
    <t>Said Hamed</t>
  </si>
  <si>
    <t>Hashemi</t>
  </si>
  <si>
    <t>Muhammad Yaser</t>
  </si>
  <si>
    <t>Muhammad Jan</t>
  </si>
  <si>
    <t>Dariz High school</t>
  </si>
  <si>
    <t>Mohammad Ozair</t>
  </si>
  <si>
    <t>Nik Mohammad</t>
  </si>
  <si>
    <t>Dost Mohammad</t>
  </si>
  <si>
    <t>Samiullah Private High School</t>
  </si>
  <si>
    <t>monbar private school</t>
  </si>
  <si>
    <t>Ahmad Yaser</t>
  </si>
  <si>
    <t>Ghulam Rabani</t>
  </si>
  <si>
    <t>Aziz Afghan Secondary School</t>
  </si>
  <si>
    <t xml:space="preserve">Muhammad Ehsan </t>
  </si>
  <si>
    <t>Muhmammad Omar</t>
  </si>
  <si>
    <t>Khana ketab high School</t>
  </si>
  <si>
    <t>Bashir Ahmad</t>
  </si>
  <si>
    <t>Muhibullah</t>
  </si>
  <si>
    <t>Nakhno</t>
  </si>
  <si>
    <t>Haji Ghulam Nabi</t>
  </si>
  <si>
    <t>Muhmmad shukran</t>
  </si>
  <si>
    <t>Muhammad wasi</t>
  </si>
  <si>
    <t xml:space="preserve">Muhammad Shafi </t>
  </si>
  <si>
    <t>Zala</t>
  </si>
  <si>
    <t>Muhammad Saber</t>
  </si>
  <si>
    <t>Baresh</t>
  </si>
  <si>
    <t>Arash</t>
  </si>
  <si>
    <t>Mohammad Shoaib</t>
  </si>
  <si>
    <t>Mudasir Ahmad</t>
  </si>
  <si>
    <t>Muhammad masih</t>
  </si>
  <si>
    <t>Muhammad dawod</t>
  </si>
  <si>
    <t>Maidan wardak</t>
  </si>
  <si>
    <t>Macroyan 4</t>
  </si>
  <si>
    <t>1399-1103-56344</t>
  </si>
  <si>
    <t>Benazir</t>
  </si>
  <si>
    <t>Abdulkhalil</t>
  </si>
  <si>
    <t>Qurban Ali</t>
  </si>
  <si>
    <t>Atabak</t>
  </si>
  <si>
    <t>Naswan bibi mahro high school</t>
  </si>
  <si>
    <t xml:space="preserve">Muhmmad mudasir </t>
  </si>
  <si>
    <t xml:space="preserve">muzamel </t>
  </si>
  <si>
    <t>almubark Zaland high school</t>
  </si>
  <si>
    <t>Said Nasir Ahmad</t>
  </si>
  <si>
    <t>Mohammad Sidiq</t>
  </si>
  <si>
    <t>Awin Mashhid</t>
  </si>
  <si>
    <t>Said Akbar</t>
  </si>
  <si>
    <t>Said Sarwar</t>
  </si>
  <si>
    <t>Marsana</t>
  </si>
  <si>
    <t>Milad</t>
  </si>
  <si>
    <t>Abdul Baqi</t>
  </si>
  <si>
    <t>Esteqlal Khurasan High School</t>
  </si>
  <si>
    <t>Etemad private school</t>
  </si>
  <si>
    <t xml:space="preserve">Said Ahmad </t>
  </si>
  <si>
    <t xml:space="preserve">Aziz rahman </t>
  </si>
  <si>
    <t xml:space="preserve">Gulrahman </t>
  </si>
  <si>
    <t>Haji abdulqader high school</t>
  </si>
  <si>
    <t>Aziz Ahmad</t>
  </si>
  <si>
    <t>Naqib Ahmad</t>
  </si>
  <si>
    <t>Abdulmatin</t>
  </si>
  <si>
    <t>Shams London No.2 high school</t>
  </si>
  <si>
    <t>Ghani Khan</t>
  </si>
  <si>
    <t>Mohammad Noman</t>
  </si>
  <si>
    <t>Khairullah</t>
  </si>
  <si>
    <t>Khadija</t>
  </si>
  <si>
    <t xml:space="preserve">Ahmad Qais </t>
  </si>
  <si>
    <t xml:space="preserve">Matiullah </t>
  </si>
  <si>
    <t xml:space="preserve">Amrullah </t>
  </si>
  <si>
    <t>Khesraw Haji abdulqader high school</t>
  </si>
  <si>
    <t>Ahmad Seyam</t>
  </si>
  <si>
    <t>Ahmad Nadeem</t>
  </si>
  <si>
    <t>Sardar muhmmad dawood khan</t>
  </si>
  <si>
    <t>Rashed</t>
  </si>
  <si>
    <t>Mohammad Shaker</t>
  </si>
  <si>
    <t>Mohammad Yusuf</t>
  </si>
  <si>
    <t>Weda Private High School</t>
  </si>
  <si>
    <t>Sama</t>
  </si>
  <si>
    <t>Abdulbaes</t>
  </si>
  <si>
    <t>Said Abobbaker</t>
  </si>
  <si>
    <t>Said Jamil</t>
  </si>
  <si>
    <t>Ehsanullah</t>
  </si>
  <si>
    <t>Eid Mohammad</t>
  </si>
  <si>
    <t>Mohammad Nazir</t>
  </si>
  <si>
    <t>Muhammad Tasin</t>
  </si>
  <si>
    <t>Rateb</t>
  </si>
  <si>
    <t xml:space="preserve">Ebadullah </t>
  </si>
  <si>
    <t xml:space="preserve">Muhmmad Rafiq </t>
  </si>
  <si>
    <t xml:space="preserve">Bazmuhmmad </t>
  </si>
  <si>
    <t>Said Abdulrahman</t>
  </si>
  <si>
    <t>Said Mujeeb</t>
  </si>
  <si>
    <t>Said Majid Shah</t>
  </si>
  <si>
    <t>Said Hamid Shah</t>
  </si>
  <si>
    <t>Neswan alfatah high school</t>
  </si>
  <si>
    <t>Hadia</t>
  </si>
  <si>
    <t>Abdul Moqim</t>
  </si>
  <si>
    <t>Shir Mohammad</t>
  </si>
  <si>
    <t>Abo Qasem Ferdawsi High School</t>
  </si>
  <si>
    <t xml:space="preserve">Erfanullah </t>
  </si>
  <si>
    <t xml:space="preserve">Nzifullah </t>
  </si>
  <si>
    <t xml:space="preserve">Mer obaidullah </t>
  </si>
  <si>
    <t>shams mawlana Haji abdulqader high school</t>
  </si>
  <si>
    <t>Abdul Bayes</t>
  </si>
  <si>
    <t>Femal</t>
  </si>
  <si>
    <t>Shams London private school</t>
  </si>
  <si>
    <t>Said Abdul Rahman</t>
  </si>
  <si>
    <t>Said Najeeb</t>
  </si>
  <si>
    <t>Taqwa</t>
  </si>
  <si>
    <t>Rafiullah</t>
  </si>
  <si>
    <t>Mujawer Khan</t>
  </si>
  <si>
    <t>Khatemulnabeen High School</t>
  </si>
  <si>
    <t>Ahmad Taib</t>
  </si>
  <si>
    <t>Toor Jan</t>
  </si>
  <si>
    <t>Mohammad Ayoub</t>
  </si>
  <si>
    <t>Erfan High School</t>
  </si>
  <si>
    <t>Shams london private school</t>
  </si>
  <si>
    <t>Said Abubaker</t>
  </si>
  <si>
    <t>Said Ali</t>
  </si>
  <si>
    <t>Abdul Khalil</t>
  </si>
  <si>
    <t>Ahmad Sayem</t>
  </si>
  <si>
    <t>Ahmad Nadim</t>
  </si>
  <si>
    <t>Ata Muhammad</t>
  </si>
  <si>
    <t>Khkola</t>
  </si>
  <si>
    <t>Muhammad Sabir</t>
  </si>
  <si>
    <t>Abdulhadi davi school</t>
  </si>
  <si>
    <t>Kayenat</t>
  </si>
  <si>
    <t xml:space="preserve">Ahmad Yaser </t>
  </si>
  <si>
    <t>Azizi Afghan middle school</t>
  </si>
  <si>
    <t>Said Ferdaous</t>
  </si>
  <si>
    <t xml:space="preserve">Said Hamid </t>
  </si>
  <si>
    <t>Said Mustafa</t>
  </si>
  <si>
    <t>Said Wahab</t>
  </si>
  <si>
    <t>Said Emam</t>
  </si>
  <si>
    <t>Aboqasem Ferdawsi high School</t>
  </si>
  <si>
    <t>Sardar Muhammad dawood khan</t>
  </si>
  <si>
    <t>Shaheem</t>
  </si>
  <si>
    <t>Sherzai</t>
  </si>
  <si>
    <t>khana noor number 4 private school</t>
  </si>
  <si>
    <t>Erfanullah</t>
  </si>
  <si>
    <t>Mohammad  Rafiq</t>
  </si>
  <si>
    <t>Baz Mohammad</t>
  </si>
  <si>
    <t>Zokor Bibi Mahro High school</t>
  </si>
  <si>
    <t>Muhammad zia</t>
  </si>
  <si>
    <t>Ziaudden</t>
  </si>
  <si>
    <t>Khedmat private school</t>
  </si>
  <si>
    <t xml:space="preserve">Sahra </t>
  </si>
  <si>
    <t>hidayatullah</t>
  </si>
  <si>
    <t>Mobashir</t>
  </si>
  <si>
    <t xml:space="preserve">Besmellah Muhammad </t>
  </si>
  <si>
    <t>Taza Khan</t>
  </si>
  <si>
    <t>Muhammadi</t>
  </si>
  <si>
    <t xml:space="preserve">Abdullah </t>
  </si>
  <si>
    <t>Habib urahman</t>
  </si>
  <si>
    <t>Sahrif</t>
  </si>
  <si>
    <t>Abdul Somaya</t>
  </si>
  <si>
    <t>Abdul Waris</t>
  </si>
  <si>
    <t>Etemad kamel number 3 private school</t>
  </si>
  <si>
    <t>Mir Arsalan</t>
  </si>
  <si>
    <t>Mir qader</t>
  </si>
  <si>
    <t>Said Ayamudin</t>
  </si>
  <si>
    <t>Mohammad Jan</t>
  </si>
  <si>
    <t>Mir Ahmad Shah</t>
  </si>
  <si>
    <t>Mir Padshah</t>
  </si>
  <si>
    <t>Hasenat</t>
  </si>
  <si>
    <t>Roheen Jan</t>
  </si>
  <si>
    <t>Elham private school</t>
  </si>
  <si>
    <t>Baheer</t>
  </si>
  <si>
    <t>Sardar muhammad dawood khan</t>
  </si>
  <si>
    <t>Kaihan</t>
  </si>
  <si>
    <t>Hidayatullah</t>
  </si>
  <si>
    <t>Azmoon private school</t>
  </si>
  <si>
    <t>Ahmad shah</t>
  </si>
  <si>
    <t xml:space="preserve">Najeebullah </t>
  </si>
  <si>
    <t>Jahan number 2 private school</t>
  </si>
  <si>
    <t xml:space="preserve">Ahmad Musaweer </t>
  </si>
  <si>
    <t>Faheem</t>
  </si>
  <si>
    <t>Subhan</t>
  </si>
  <si>
    <t>Abdulwahed</t>
  </si>
  <si>
    <t>Saadudduin Ansari high school</t>
  </si>
  <si>
    <t>Abo Qasm ferdaosi private school</t>
  </si>
  <si>
    <t>Muhammad Gulab</t>
  </si>
  <si>
    <t>1401-1201-10336</t>
  </si>
  <si>
    <t>Abdul hadi davi high school</t>
  </si>
  <si>
    <t>Hejran</t>
  </si>
  <si>
    <t>Esmatullah</t>
  </si>
  <si>
    <t>Abdulsalam</t>
  </si>
  <si>
    <t>Haji Abdulqadir high school</t>
  </si>
  <si>
    <t>Mohammad Sulaiman</t>
  </si>
  <si>
    <t>Mohammad Wasi</t>
  </si>
  <si>
    <t>Mohammad Shafi</t>
  </si>
  <si>
    <t>Khedmat private high school</t>
  </si>
  <si>
    <t>Abdulhasher</t>
  </si>
  <si>
    <t>Abdulsatar</t>
  </si>
  <si>
    <t>Yakatoot Elementary School</t>
  </si>
  <si>
    <t>Danyal</t>
  </si>
  <si>
    <t>Jan Gul</t>
  </si>
  <si>
    <t>Ahmad Yaseer</t>
  </si>
  <si>
    <t>Ahmad Mobashir</t>
  </si>
  <si>
    <t>Muhammad Email</t>
  </si>
  <si>
    <t>Muhammad Zaman</t>
  </si>
  <si>
    <t>Almomenat Asr high school</t>
  </si>
  <si>
    <t>Said Yama</t>
  </si>
  <si>
    <t>Said Tawfiq</t>
  </si>
  <si>
    <t>Said Abdullah</t>
  </si>
  <si>
    <t>Ahmad mansoor</t>
  </si>
  <si>
    <t>Gul Muhammad</t>
  </si>
  <si>
    <t>Nokhbakan shaher private school</t>
  </si>
  <si>
    <t>Ahmad Saaduddin</t>
  </si>
  <si>
    <t>Muhammad Esmail</t>
  </si>
  <si>
    <t>Emran</t>
  </si>
  <si>
    <t>Haroon</t>
  </si>
  <si>
    <t>Mohammad Osman</t>
  </si>
  <si>
    <t>Jahan Number 2 private high school</t>
  </si>
  <si>
    <t xml:space="preserve">Amir Muhammad </t>
  </si>
  <si>
    <t>Abdul Sabir</t>
  </si>
  <si>
    <t>Arsalan</t>
  </si>
  <si>
    <t>Azimullah</t>
  </si>
  <si>
    <t>Sardar Muhammad</t>
  </si>
  <si>
    <t>Abdul Basit</t>
  </si>
  <si>
    <t>Fridon</t>
  </si>
  <si>
    <t>Mohammad  Omar</t>
  </si>
  <si>
    <t>Mae</t>
  </si>
  <si>
    <t>Abdul wasi</t>
  </si>
  <si>
    <t>Zokor bibi mahro</t>
  </si>
  <si>
    <t>Abdullah</t>
  </si>
  <si>
    <t>Safiullah</t>
  </si>
  <si>
    <t>Muqadas</t>
  </si>
  <si>
    <t>Mohammad Qasem</t>
  </si>
  <si>
    <t>Mohammad Azam</t>
  </si>
  <si>
    <t>Jahan Number 2  High School</t>
  </si>
  <si>
    <t>Adebullah</t>
  </si>
  <si>
    <t>Edress</t>
  </si>
  <si>
    <t>Zokor bibi Mahro private school</t>
  </si>
  <si>
    <t>Beheshta</t>
  </si>
  <si>
    <t>Muhammad Shaker</t>
  </si>
  <si>
    <t>Muhammad Yousuf</t>
  </si>
  <si>
    <t>Wida high school</t>
  </si>
  <si>
    <t>Mohammad Hekmat</t>
  </si>
  <si>
    <t>Mohammad Azim</t>
  </si>
  <si>
    <t>Mohammad  Azam</t>
  </si>
  <si>
    <t>Jahan Number 2 High School</t>
  </si>
  <si>
    <t>Moneeb u rahman</t>
  </si>
  <si>
    <t>Abdul u rahman</t>
  </si>
  <si>
    <t>Kawish number 1</t>
  </si>
  <si>
    <t>Kiawash</t>
  </si>
  <si>
    <t>Qorban Ali</t>
  </si>
  <si>
    <t>Ahmad Mansour</t>
  </si>
  <si>
    <t>Gul Mohammad</t>
  </si>
  <si>
    <t>Nukhbagan Shahr High School</t>
  </si>
  <si>
    <t>Yousf Rahman</t>
  </si>
  <si>
    <t xml:space="preserve">Yousef u rahman </t>
  </si>
  <si>
    <t>Mohammad Sami</t>
  </si>
  <si>
    <t>Mohammad  Gulab</t>
  </si>
  <si>
    <t>Abdulbasit</t>
  </si>
  <si>
    <t>Zamir Muhammad</t>
  </si>
  <si>
    <t>Sahib zada high school</t>
  </si>
  <si>
    <t>Amir Mohammad</t>
  </si>
  <si>
    <t>Abdul Saber</t>
  </si>
  <si>
    <t>Haji Mohammad Bai</t>
  </si>
  <si>
    <t>Rafullah</t>
  </si>
  <si>
    <t>Mujawer khan</t>
  </si>
  <si>
    <t>Khatemun nabieen No.2 high school</t>
  </si>
  <si>
    <t>Muhammad Elham</t>
  </si>
  <si>
    <t>Ahmad Jamshid</t>
  </si>
  <si>
    <t>qalai zaman khan high school</t>
  </si>
  <si>
    <t>Sahib Nazar</t>
  </si>
  <si>
    <t>Qalai wazir abad middle school</t>
  </si>
  <si>
    <t>Mehrsa</t>
  </si>
  <si>
    <t>Suhrab</t>
  </si>
  <si>
    <t>Abdul Rasool</t>
  </si>
  <si>
    <t>Rasooli</t>
  </si>
  <si>
    <t>Haji Abdulqader private school</t>
  </si>
  <si>
    <t xml:space="preserve">Said Jalil </t>
  </si>
  <si>
    <t>Said mukhtar</t>
  </si>
  <si>
    <t>Said Jalal</t>
  </si>
  <si>
    <t>Abdulqader private school</t>
  </si>
  <si>
    <t>Jawid</t>
  </si>
  <si>
    <t>Mohammad Zaher</t>
  </si>
  <si>
    <t>Noorulhuda</t>
  </si>
  <si>
    <t>Ahmad Jawid</t>
  </si>
  <si>
    <t>Abdulqayoum</t>
  </si>
  <si>
    <t>Tanwir No.3 high school</t>
  </si>
  <si>
    <t>Monbar private school</t>
  </si>
  <si>
    <t>Mohammad  Zarkan</t>
  </si>
  <si>
    <t>Abdul Wahed</t>
  </si>
  <si>
    <t>Abdul Malik</t>
  </si>
  <si>
    <t>Ahmahal private school</t>
  </si>
  <si>
    <t>Mohammad Yousuf</t>
  </si>
  <si>
    <t>Muhammad Ebrahim</t>
  </si>
  <si>
    <t>rohullah</t>
  </si>
  <si>
    <t>Haji abdulqaser private school</t>
  </si>
  <si>
    <t>Ahmad Shoaib</t>
  </si>
  <si>
    <t>Latifa</t>
  </si>
  <si>
    <t>Saheb Nazar</t>
  </si>
  <si>
    <t>Chahar Qala Secondary School</t>
  </si>
  <si>
    <t>Muhammad Azizi</t>
  </si>
  <si>
    <t>NekMuhammad</t>
  </si>
  <si>
    <t>Samiwullah private school</t>
  </si>
  <si>
    <t>Ghulam Sakhi</t>
  </si>
  <si>
    <t>Chahar Qala Wazir Abadd</t>
  </si>
  <si>
    <t>Barish</t>
  </si>
  <si>
    <t xml:space="preserve">Arash </t>
  </si>
  <si>
    <t>haji abdulqader private school</t>
  </si>
  <si>
    <t>Ahmad Murtaza</t>
  </si>
  <si>
    <t>Ahmad Fahim</t>
  </si>
  <si>
    <t>Sefatullah</t>
  </si>
  <si>
    <t>Jahan Number 2 High school</t>
  </si>
  <si>
    <t>said naseer ahmad</t>
  </si>
  <si>
    <t>haidabdulqader private school</t>
  </si>
  <si>
    <t>Muhammad Noman</t>
  </si>
  <si>
    <t>EidMuhammad</t>
  </si>
  <si>
    <t>Abdul Moqeem</t>
  </si>
  <si>
    <t>Abo qaseem ferdaouse</t>
  </si>
  <si>
    <t>Ahmad Tyeb</t>
  </si>
  <si>
    <t>Noor Khan</t>
  </si>
  <si>
    <t>Irfan private school</t>
  </si>
  <si>
    <t>Ahmad Rashed</t>
  </si>
  <si>
    <t>Ahmad  Fahim</t>
  </si>
  <si>
    <t>Ghulam Hassan</t>
  </si>
  <si>
    <t>Khane Ketab high school</t>
  </si>
  <si>
    <t>Irfanullah</t>
  </si>
  <si>
    <t>Muhammad Rafiq</t>
  </si>
  <si>
    <t>Shafa</t>
  </si>
  <si>
    <t>Muhammad Zaher</t>
  </si>
  <si>
    <t>Shah Ahmad</t>
  </si>
  <si>
    <t>Azizurahamn</t>
  </si>
  <si>
    <t>Habib u Rahman</t>
  </si>
  <si>
    <t>Zoko bibi mahro</t>
  </si>
  <si>
    <t>Ahmad Seyar</t>
  </si>
  <si>
    <t xml:space="preserve">Samir </t>
  </si>
  <si>
    <t xml:space="preserve"> Wolayat Khan</t>
  </si>
  <si>
    <t>Dariz Number 2 High School</t>
  </si>
  <si>
    <t>Hassanat</t>
  </si>
  <si>
    <t>Roeen Jan</t>
  </si>
  <si>
    <t>Elham Uloom high school</t>
  </si>
  <si>
    <t>Muhammad Sulaiman</t>
  </si>
  <si>
    <t>Muhammad Wasi</t>
  </si>
  <si>
    <t>Danial</t>
  </si>
  <si>
    <t>Muhammad Jamil</t>
  </si>
  <si>
    <t>Abo qasem ferdaose high school</t>
  </si>
  <si>
    <t>Halima</t>
  </si>
  <si>
    <t>Qotbuddin</t>
  </si>
  <si>
    <t>Afghan Kabul high school</t>
  </si>
  <si>
    <t>Mohammad Yasin</t>
  </si>
  <si>
    <t>Muhammad Hikmat</t>
  </si>
  <si>
    <t>Abubakr</t>
  </si>
  <si>
    <t>Armin</t>
  </si>
  <si>
    <t>Tamas</t>
  </si>
  <si>
    <t>Nazar Mohammad</t>
  </si>
  <si>
    <t>Dariz Number 2 High school</t>
  </si>
  <si>
    <t>Arafat</t>
  </si>
  <si>
    <t>Sardar Muhammad Dawood Khan high school</t>
  </si>
  <si>
    <t>Younes</t>
  </si>
  <si>
    <t>Mohammad  Saber</t>
  </si>
  <si>
    <t>Mohammad Ebrahim</t>
  </si>
  <si>
    <t>Aziz Afghan High school</t>
  </si>
  <si>
    <t>Muhammad dawood</t>
  </si>
  <si>
    <t>Tahqiq high school</t>
  </si>
  <si>
    <t xml:space="preserve">Erfan </t>
  </si>
  <si>
    <t>Muhammad Naeem</t>
  </si>
  <si>
    <t>Andisha Mawlana high school</t>
  </si>
  <si>
    <t>Noman</t>
  </si>
  <si>
    <t>Emranullah</t>
  </si>
  <si>
    <t>Qanon tartib private school</t>
  </si>
  <si>
    <t>Menbar High School</t>
  </si>
  <si>
    <t>Bahir</t>
  </si>
  <si>
    <t>Fazelrahman</t>
  </si>
  <si>
    <t>Aziz u rahman</t>
  </si>
  <si>
    <t>haji abdull qader high school</t>
  </si>
  <si>
    <t>Nangyali</t>
  </si>
  <si>
    <t>Shir Rahman</t>
  </si>
  <si>
    <t>Macroryan High School</t>
  </si>
  <si>
    <t>Atiqullah</t>
  </si>
  <si>
    <t>Kanon Tarbeyat high School</t>
  </si>
  <si>
    <t>Ahmad Sear</t>
  </si>
  <si>
    <t>Sameer</t>
  </si>
  <si>
    <t>Dariz number 2 private school</t>
  </si>
  <si>
    <t>Ahmad Wasim</t>
  </si>
  <si>
    <t>Abdul Hadi Dawi High school</t>
  </si>
  <si>
    <t>Fateh Mohammad</t>
  </si>
  <si>
    <t>Tahqiq High School</t>
  </si>
  <si>
    <t>Halim</t>
  </si>
  <si>
    <t>Qotubdden</t>
  </si>
  <si>
    <t>Abobbaker</t>
  </si>
  <si>
    <t>Muhammad Yaseen</t>
  </si>
  <si>
    <t>abo qasem ferdaousi high school</t>
  </si>
  <si>
    <t>Ferdows</t>
  </si>
  <si>
    <t>Nazifullah</t>
  </si>
  <si>
    <t>Shams mawlana High School</t>
  </si>
  <si>
    <t>Muhammad Taseen</t>
  </si>
  <si>
    <t>abo qasem ferdaosi high school</t>
  </si>
  <si>
    <t>Said Emran</t>
  </si>
  <si>
    <t>Said Mahmood</t>
  </si>
  <si>
    <t>Said Yahya</t>
  </si>
  <si>
    <t>Armen</t>
  </si>
  <si>
    <t>dariz number 2 private school</t>
  </si>
  <si>
    <t xml:space="preserve">Yones </t>
  </si>
  <si>
    <t>Muhammad sabir</t>
  </si>
  <si>
    <t>Aziz afghan middle school</t>
  </si>
  <si>
    <t>Harron</t>
  </si>
  <si>
    <t>Irfan</t>
  </si>
  <si>
    <t>Menber private school</t>
  </si>
  <si>
    <t>Nangyal</t>
  </si>
  <si>
    <t>Macroyan private school</t>
  </si>
  <si>
    <t>Ahmad nadeem</t>
  </si>
  <si>
    <t xml:space="preserve">Ahmad Waseem </t>
  </si>
  <si>
    <t>Ahmad Faheem</t>
  </si>
  <si>
    <t>Ahmad reshad</t>
  </si>
  <si>
    <t>Ghulam hussain</t>
  </si>
  <si>
    <t>Khana Ketab private school</t>
  </si>
  <si>
    <t xml:space="preserve">Latifa </t>
  </si>
  <si>
    <t>4 qalah u wazir abad middle school</t>
  </si>
  <si>
    <t>Kyawash</t>
  </si>
  <si>
    <t>AbdulKhalil</t>
  </si>
  <si>
    <t>Abdul basit</t>
  </si>
  <si>
    <t>Azmon private school</t>
  </si>
  <si>
    <t>Khatumullnabyeen private school</t>
  </si>
  <si>
    <t>Muhammd Yosef</t>
  </si>
  <si>
    <t>Etemad private  school</t>
  </si>
  <si>
    <t>Bibi Belqaies</t>
  </si>
  <si>
    <t>Muhammad Yosef</t>
  </si>
  <si>
    <t>Kardan private school</t>
  </si>
  <si>
    <t>Meher Shah</t>
  </si>
  <si>
    <t>Sohrab</t>
  </si>
  <si>
    <t>Shaheed sardar mohammad dawood khan</t>
  </si>
  <si>
    <t>Mohammad Zarkan</t>
  </si>
  <si>
    <t>AbdulWahed</t>
  </si>
  <si>
    <t>Abdul Malek</t>
  </si>
  <si>
    <t>Isteqlal khurasan private school</t>
  </si>
  <si>
    <t>Mursan</t>
  </si>
  <si>
    <t xml:space="preserve">4 qalay wazirabad middleschool </t>
  </si>
  <si>
    <t>Ahmad Shohaib</t>
  </si>
  <si>
    <t>Said Rezwan</t>
  </si>
  <si>
    <t>jahan number 2</t>
  </si>
  <si>
    <t>Said emran</t>
  </si>
  <si>
    <t>Aveen</t>
  </si>
  <si>
    <t>Maryam</t>
  </si>
  <si>
    <t>Saib Akbar</t>
  </si>
  <si>
    <t>jahan number 3</t>
  </si>
  <si>
    <t>Ahmad Milad</t>
  </si>
  <si>
    <t>Muhammad Shukran</t>
  </si>
  <si>
    <t>Said Obaidullah</t>
  </si>
  <si>
    <t>Ahmad Qais</t>
  </si>
  <si>
    <t>Matullullah</t>
  </si>
  <si>
    <t>Khesarw dehlawe privte school</t>
  </si>
  <si>
    <t>Ebadullah</t>
  </si>
  <si>
    <t>Mohammad Rafiq</t>
  </si>
  <si>
    <t>Erfanuallah</t>
  </si>
  <si>
    <t>Shams mowlana private school</t>
  </si>
  <si>
    <t>Ferdaose</t>
  </si>
  <si>
    <t>Mubasher</t>
  </si>
  <si>
    <t>Bismullah</t>
  </si>
  <si>
    <t>Muhammad Yosaf</t>
  </si>
  <si>
    <t>Sujan</t>
  </si>
  <si>
    <t>Sadudden ansare middle school</t>
  </si>
  <si>
    <t>Hijran</t>
  </si>
  <si>
    <t>haji abdul qader privates school</t>
  </si>
  <si>
    <t>Abdul Hasher</t>
  </si>
  <si>
    <t>Abdul Satar</t>
  </si>
  <si>
    <t>Yakatot middle school</t>
  </si>
  <si>
    <t>Ahamd Mubasher</t>
  </si>
  <si>
    <t>Mohammad Ismail</t>
  </si>
  <si>
    <t>Almomenat Oser private school</t>
  </si>
  <si>
    <t>Ahamd Saduden</t>
  </si>
  <si>
    <t>Mohmmad Ismail</t>
  </si>
  <si>
    <t>AzizRahman</t>
  </si>
  <si>
    <t>Andisha mawlana middle school</t>
  </si>
  <si>
    <t>Mohammad Azmat</t>
  </si>
  <si>
    <t>Muhammad azim</t>
  </si>
  <si>
    <t>Hamisha bahar number 1 private school</t>
  </si>
  <si>
    <t>Abdul Marof</t>
  </si>
  <si>
    <t>Kardan high school</t>
  </si>
  <si>
    <t>Ahmad Shaheer</t>
  </si>
  <si>
    <t xml:space="preserve">Ahmad Samim </t>
  </si>
  <si>
    <t>Mustaqeem</t>
  </si>
  <si>
    <t>Noor afghan private school</t>
  </si>
  <si>
    <t>Finished??/</t>
  </si>
  <si>
    <t>Roman</t>
  </si>
  <si>
    <t>Haji Abdul qadeer private school</t>
  </si>
  <si>
    <t>Muhammad yosaf</t>
  </si>
  <si>
    <t>Muhammad Zai</t>
  </si>
  <si>
    <t>Abdul Majid Alokozay pirvate school</t>
  </si>
  <si>
    <t>khane noor number 4 private school</t>
  </si>
  <si>
    <t>Parent_Middle_Name</t>
  </si>
  <si>
    <t>Is_Emergency_Contact</t>
  </si>
  <si>
    <t>STUDENT DATA INSERTION TEMPLATE - INSTRUCTIONS</t>
  </si>
  <si>
    <t>REQUIRED FIELDS (marked with *):</t>
  </si>
  <si>
    <t>• Student_First_Name, Student_Last_Name, Student_Username, Student_Phone, Student_Gender, Student_Date_of_Birth</t>
  </si>
  <si>
    <t>• Parent_First_Name, Parent_Last_Name, Parent_Username, Parent_Phone, Parent_Gender, Parent_Birth_Date</t>
  </si>
  <si>
    <t>• Admission_Date, Class_ID</t>
  </si>
  <si>
    <t>DATA FORMATS:</t>
  </si>
  <si>
    <t>• Dates: YYYY-MM-DD format (e.g., 2024-01-15)</t>
  </si>
  <si>
    <t>• Phone: Include country code (e.g., +923001234567)</t>
  </si>
  <si>
    <t>• Gender: MALE, FEMALE, or OTHER</t>
  </si>
  <si>
    <t>• Class_ID: Numeric value (e.g., 1, 2, 3)</t>
  </si>
  <si>
    <t>• Relationship: Father, Mother, Guardian, or Other</t>
  </si>
  <si>
    <t>• Boolean fields: true or false</t>
  </si>
  <si>
    <t>SAMPLE DATA ROW:</t>
  </si>
  <si>
    <t>Student_First_Name: Ahmed</t>
  </si>
  <si>
    <t>Student_Last_Name: Khan</t>
  </si>
  <si>
    <t>Student_Username: ahmed_khan_2024</t>
  </si>
  <si>
    <t>Student_Phone: +923001234567</t>
  </si>
  <si>
    <t>Student_Gender: MALE</t>
  </si>
  <si>
    <t>Student_Date_of_Birth: 2010-05-15</t>
  </si>
  <si>
    <t>Parent_First_Name: Muhammad</t>
  </si>
  <si>
    <t>Parent_Last_Name: Khan</t>
  </si>
  <si>
    <t>Parent_Username: muhammad_khan_parent</t>
  </si>
  <si>
    <t>Parent_Phone: +923001234568</t>
  </si>
  <si>
    <t>Parent_Gender: MALE</t>
  </si>
  <si>
    <t>Parent_Birth_Date: 1980-03-20</t>
  </si>
  <si>
    <t>Admission_Date: 2024-01-15</t>
  </si>
  <si>
    <t>Class_ID: 1</t>
  </si>
  <si>
    <t>IMPORTANT NOTES:</t>
  </si>
  <si>
    <t>• Each row represents one student with their parent data</t>
  </si>
  <si>
    <t>• Keep data consistent across all sheets for the same student</t>
  </si>
  <si>
    <t>• Usernames must be unique</t>
  </si>
  <si>
    <t>• Phone numbers should be in international format</t>
  </si>
  <si>
    <t>• All required fields must be filled before submission</t>
  </si>
  <si>
    <t>VALIDATION RULES:</t>
  </si>
  <si>
    <t>• Username: Alphanumeric, no spaces</t>
  </si>
  <si>
    <t>• Phone: Must include country code</t>
  </si>
  <si>
    <t>• Dates: Valid date format</t>
  </si>
  <si>
    <t>• Gender: Must be one of the specified values</t>
  </si>
  <si>
    <t>• Class_ID: Must be a valid class ID from your system</t>
  </si>
  <si>
    <t>COLOR CODING:</t>
  </si>
  <si>
    <t>• Red headers: Required fields</t>
  </si>
  <si>
    <t>• Green headers: Optional fields</t>
  </si>
  <si>
    <t>• Blue headers: Address fields</t>
  </si>
  <si>
    <t>Class_ID*</t>
  </si>
  <si>
    <t>Ahmed</t>
  </si>
  <si>
    <t>Khan</t>
  </si>
  <si>
    <t>Ahmed Khan</t>
  </si>
  <si>
    <t>ahmed_khan_2024</t>
  </si>
  <si>
    <t>+923001234567</t>
  </si>
  <si>
    <t>MALE</t>
  </si>
  <si>
    <t>2010-05-15</t>
  </si>
  <si>
    <t>Student bio</t>
  </si>
  <si>
    <t>2024-01-15</t>
  </si>
  <si>
    <t>1</t>
  </si>
  <si>
    <t>A+</t>
  </si>
  <si>
    <t>Pakistani</t>
  </si>
  <si>
    <t>Fatima</t>
  </si>
  <si>
    <t>Ali</t>
  </si>
  <si>
    <t>Fatima Ali</t>
  </si>
  <si>
    <t>fatima_ali_2024</t>
  </si>
  <si>
    <t>+923001234568</t>
  </si>
  <si>
    <t>FEMALE</t>
  </si>
  <si>
    <t>2011-08-20</t>
  </si>
  <si>
    <t>2</t>
  </si>
  <si>
    <t>B+</t>
  </si>
  <si>
    <t>Hassan</t>
  </si>
  <si>
    <t>Muhammad</t>
  </si>
  <si>
    <t>Raza</t>
  </si>
  <si>
    <t>Hassan Raza</t>
  </si>
  <si>
    <t>hassan_raza_2024</t>
  </si>
  <si>
    <t>+923001234569</t>
  </si>
  <si>
    <t>2009-12-10</t>
  </si>
  <si>
    <t>3</t>
  </si>
  <si>
    <t>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</si>
</sst>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yyyy-mm-dd"/>
    <numFmt numFmtId="166" formatCode="dd-mm-yyyy"/>
    <numFmt numFmtId="167" formatCode="d-m-yyyy"/>
  </numFmts>
  <fonts count="7">
    <font>
      <sz val="11.0"/>
      <color theme="1"/>
      <name val="Calibri"/>
      <scheme val="minor"/>
    </font>
    <font>
      <b/>
      <color rgb="FFFFFFFF"/>
      <name val="Calibri"/>
      <scheme val="minor"/>
    </font>
    <font>
      <b/>
      <sz val="11.0"/>
      <color rgb="FFFFFFFF"/>
      <name val="Calibri"/>
    </font>
    <font>
      <color theme="1"/>
      <name val="Calibri"/>
      <scheme val="minor"/>
    </font>
    <font>
      <sz val="11.0"/>
      <color theme="1"/>
      <name val="Calibri"/>
    </font>
    <font>
      <b/>
      <sz val="16.0"/>
      <color rgb="FF366092"/>
      <name val="Calibri"/>
      <scheme val="minor"/>
    </font>
    <font>
      <b/>
      <color rgb="FF366092"/>
      <name val="Calibri"/>
      <scheme val="minor"/>
    </font>
  </fonts>
  <fills count="5">
    <fill>
      <patternFill patternType="none"/>
    </fill>
    <fill>
      <patternFill patternType="lightGray"/>
    </fill>
    <fill>
      <patternFill patternType="solid">
        <fgColor rgb="FFCC0000"/>
        <bgColor rgb="FFCC0000"/>
      </patternFill>
    </fill>
    <fill>
      <patternFill patternType="solid">
        <fgColor rgb="FFFF6B6B"/>
        <bgColor rgb="FFFF6B6B"/>
      </patternFill>
    </fill>
    <fill>
      <patternFill patternType="solid">
        <fgColor rgb="FF4ECDC4"/>
        <bgColor rgb="FF4ECDC4"/>
      </patternFill>
    </fill>
  </fills>
  <borders count="2">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1" numFmtId="0" xfId="0" applyAlignment="1" applyBorder="1" applyFont="1">
      <alignment horizontal="center" vertical="center"/>
    </xf>
    <xf borderId="1" fillId="2" fontId="1" numFmtId="0" xfId="0" applyAlignment="1" applyBorder="1" applyFont="1">
      <alignment horizontal="center" readingOrder="0" vertical="center"/>
    </xf>
    <xf borderId="1" fillId="2" fontId="2" numFmtId="0" xfId="0" applyAlignment="1" applyBorder="1" applyFont="1">
      <alignment horizontal="center"/>
    </xf>
    <xf borderId="0" fillId="0" fontId="3" numFmtId="0" xfId="0" applyAlignment="1" applyFont="1">
      <alignment horizontal="center"/>
    </xf>
    <xf borderId="0" fillId="0" fontId="3" numFmtId="0" xfId="0" applyAlignment="1" applyFont="1">
      <alignment horizontal="center" readingOrder="0"/>
    </xf>
    <xf borderId="0" fillId="0" fontId="4" numFmtId="0" xfId="0" applyAlignment="1" applyFont="1">
      <alignment horizontal="center" vertical="bottom"/>
    </xf>
    <xf borderId="0" fillId="0" fontId="3" numFmtId="164" xfId="0" applyAlignment="1" applyFont="1" applyNumberFormat="1">
      <alignment horizontal="center"/>
    </xf>
    <xf borderId="0" fillId="0" fontId="3" numFmtId="165" xfId="0" applyAlignment="1" applyFont="1" applyNumberFormat="1">
      <alignment horizontal="center" readingOrder="0"/>
    </xf>
    <xf borderId="0" fillId="0" fontId="4" numFmtId="0" xfId="0" applyAlignment="1" applyFont="1">
      <alignment horizontal="center" vertical="bottom"/>
    </xf>
    <xf borderId="0" fillId="0" fontId="3" numFmtId="166" xfId="0" applyAlignment="1" applyFont="1" applyNumberFormat="1">
      <alignment horizontal="center" readingOrder="0"/>
    </xf>
    <xf quotePrefix="1" borderId="0" fillId="0" fontId="3" numFmtId="0" xfId="0" applyAlignment="1" applyFont="1">
      <alignment horizontal="center" readingOrder="0"/>
    </xf>
    <xf borderId="0" fillId="0" fontId="4" numFmtId="0" xfId="0" applyAlignment="1" applyFont="1">
      <alignment horizontal="center" readingOrder="0" vertical="bottom"/>
    </xf>
    <xf borderId="0" fillId="0" fontId="3" numFmtId="167" xfId="0" applyAlignment="1" applyFont="1" applyNumberFormat="1">
      <alignment horizontal="center" readingOrder="0"/>
    </xf>
    <xf borderId="1" fillId="3" fontId="1" numFmtId="0" xfId="0" applyAlignment="1" applyBorder="1" applyFill="1" applyFont="1">
      <alignment horizontal="center" vertical="center"/>
    </xf>
    <xf borderId="1" fillId="4" fontId="1" numFmtId="0" xfId="0" applyAlignment="1" applyBorder="1" applyFill="1" applyFont="1">
      <alignment horizontal="center" vertical="center"/>
    </xf>
    <xf borderId="0" fillId="0" fontId="3" numFmtId="0" xfId="0" applyAlignment="1" applyFont="1">
      <alignment readingOrder="0"/>
    </xf>
    <xf borderId="0" fillId="0" fontId="5" numFmtId="0" xfId="0" applyFont="1"/>
    <xf borderId="0" fillId="0" fontId="6" numFmtId="0" xfId="0" applyFont="1"/>
    <xf borderId="0" fillId="0" fontId="3" numFmtId="0" xfId="0" applyFont="1"/>
    <xf borderId="0" fillId="0" fontId="4" numFmtId="0" xfId="0" applyAlignment="1" applyFont="1">
      <alignment horizontal="center"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microsoft.com/office/2007/relationships/slicerCache" Target="slicerCaches/slicerCache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238125</xdr:colOff>
      <xdr:row>16</xdr:row>
      <xdr:rowOff>19050</xdr:rowOff>
    </xdr:from>
    <xdr:ext cx="285750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1_Col_1" caption="Column1" rowHeight="247650"/>
</x14:slicers>
</file>

<file path=xl/tables/table1.xml><?xml version="1.0" encoding="utf-8"?>
<table xmlns="http://schemas.openxmlformats.org/spreadsheetml/2006/main" headerRowCount="0" ref="B1:BA1019" displayName="Table_1" name="Table_1" id="1">
  <autoFilter ref="$B$1:$BA$1019"/>
  <tableColumns count="5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1.0"/>
    <col customWidth="1" min="3" max="3" width="21.43"/>
    <col customWidth="1" min="4" max="4" width="20.86"/>
    <col customWidth="1" min="5" max="5" width="11.0"/>
    <col customWidth="1" min="6" max="6" width="30.0"/>
    <col customWidth="1" min="7" max="7" width="22.0"/>
    <col customWidth="1" min="8" max="8" width="20.43"/>
    <col customWidth="1" min="9" max="16" width="22.0"/>
    <col customWidth="1" min="17" max="17" width="17.0"/>
    <col customWidth="1" min="18" max="18" width="14.14"/>
    <col customWidth="1" min="19" max="19" width="20.57"/>
    <col customWidth="1" min="20" max="20" width="14.14"/>
    <col customWidth="1" min="21" max="21" width="22.0"/>
    <col customWidth="1" min="22" max="22" width="19.0"/>
    <col customWidth="1" min="23" max="23" width="16.0"/>
    <col customWidth="1" min="24" max="24" width="13.0"/>
    <col customWidth="1" min="25" max="25" width="17.0"/>
    <col customWidth="1" min="26" max="27" width="13.0"/>
    <col customWidth="1" min="28" max="28" width="10.0"/>
    <col customWidth="1" min="29" max="29" width="11.0"/>
    <col customWidth="1" min="30" max="30" width="22.0"/>
    <col customWidth="1" min="31" max="31" width="17.0"/>
    <col customWidth="1" min="32" max="32" width="4.71"/>
    <col customWidth="1" min="33" max="33" width="3.71"/>
    <col customWidth="1" min="35" max="35" width="22.0"/>
    <col customWidth="1" min="36" max="36" width="18.29"/>
    <col customWidth="1" min="38" max="38" width="22.71"/>
    <col customWidth="1" min="39" max="39" width="22.43"/>
    <col customWidth="1" min="40" max="40" width="24.14"/>
    <col customWidth="1" min="41" max="41" width="20.0"/>
    <col customWidth="1" min="42" max="42" width="21.14"/>
    <col customWidth="1" min="43" max="43" width="21.57"/>
    <col customWidth="1" min="44" max="44" width="22.14"/>
    <col customWidth="1" min="45" max="45" width="20.86"/>
    <col customWidth="1" min="46" max="46" width="21.0"/>
    <col customWidth="1" min="47" max="47" width="17.71"/>
    <col customWidth="1" min="48" max="48" width="20.29"/>
    <col customWidth="1" min="49" max="49" width="19.57"/>
    <col customWidth="1" min="50" max="50" width="30.14"/>
    <col customWidth="1" min="51" max="51" width="17.71"/>
    <col customWidth="1" min="52" max="52" width="18.0"/>
    <col customWidth="1" min="53" max="53" width="19.43"/>
    <col customWidth="1" min="54" max="54" width="18.86"/>
    <col customWidth="1" min="55" max="55" width="17.14"/>
    <col customWidth="1" min="56" max="56" width="16.71"/>
    <col customWidth="1" min="57" max="57" width="25.57"/>
  </cols>
  <sheetData>
    <row r="1">
      <c r="A1" s="1" t="s">
        <v>0</v>
      </c>
      <c r="B1" s="2" t="s">
        <v>1</v>
      </c>
      <c r="C1" s="2" t="s">
        <v>2</v>
      </c>
      <c r="D1" s="3" t="s">
        <v>3</v>
      </c>
      <c r="E1" s="3" t="s">
        <v>4</v>
      </c>
      <c r="F1" s="2" t="s">
        <v>5</v>
      </c>
      <c r="G1" s="2" t="s">
        <v>6</v>
      </c>
      <c r="H1" s="2" t="s">
        <v>7</v>
      </c>
      <c r="I1" s="4" t="s">
        <v>8</v>
      </c>
      <c r="J1" s="4"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5"/>
      <c r="AL1" s="2" t="s">
        <v>36</v>
      </c>
      <c r="AM1" s="2" t="s">
        <v>37</v>
      </c>
      <c r="AN1" s="2" t="s">
        <v>38</v>
      </c>
      <c r="AO1" s="2" t="s">
        <v>39</v>
      </c>
      <c r="AP1" s="2" t="s">
        <v>40</v>
      </c>
      <c r="AQ1" s="2" t="s">
        <v>41</v>
      </c>
      <c r="AR1" s="2" t="s">
        <v>42</v>
      </c>
      <c r="AS1" s="2" t="s">
        <v>43</v>
      </c>
      <c r="AT1" s="2" t="s">
        <v>44</v>
      </c>
      <c r="AU1" s="2" t="s">
        <v>45</v>
      </c>
      <c r="AV1" s="2" t="s">
        <v>46</v>
      </c>
      <c r="AW1" s="2" t="s">
        <v>47</v>
      </c>
      <c r="AX1" s="2" t="s">
        <v>48</v>
      </c>
      <c r="AY1" s="2" t="s">
        <v>8</v>
      </c>
      <c r="AZ1" s="2" t="s">
        <v>9</v>
      </c>
      <c r="BA1" s="2" t="s">
        <v>49</v>
      </c>
      <c r="BB1" s="2" t="s">
        <v>50</v>
      </c>
      <c r="BC1" s="2" t="s">
        <v>51</v>
      </c>
      <c r="BD1" s="2" t="s">
        <v>52</v>
      </c>
      <c r="BE1" s="2" t="s">
        <v>53</v>
      </c>
    </row>
    <row r="2">
      <c r="A2" s="6"/>
      <c r="B2" s="6" t="s">
        <v>54</v>
      </c>
      <c r="C2" s="6" t="s">
        <v>55</v>
      </c>
      <c r="D2" s="6" t="s">
        <v>56</v>
      </c>
      <c r="E2" s="5"/>
      <c r="F2" s="6" t="s">
        <v>57</v>
      </c>
      <c r="G2" s="6" t="s">
        <v>57</v>
      </c>
      <c r="H2" s="6" t="s">
        <v>58</v>
      </c>
      <c r="I2" s="7" t="s">
        <v>59</v>
      </c>
      <c r="J2" s="7"/>
      <c r="K2" s="6" t="s">
        <v>60</v>
      </c>
      <c r="L2" s="6" t="s">
        <v>61</v>
      </c>
      <c r="M2" s="6" t="s">
        <v>61</v>
      </c>
      <c r="N2" s="6" t="s">
        <v>61</v>
      </c>
      <c r="O2" s="6">
        <v>2018.0</v>
      </c>
      <c r="P2" s="6" t="s">
        <v>62</v>
      </c>
      <c r="Q2" s="6" t="s">
        <v>63</v>
      </c>
      <c r="R2" s="6" t="s">
        <v>64</v>
      </c>
      <c r="S2" s="6" t="s">
        <v>65</v>
      </c>
      <c r="T2" s="6">
        <v>7.00911724E8</v>
      </c>
      <c r="U2" s="5"/>
      <c r="V2" s="5"/>
      <c r="W2" s="6">
        <v>7.00911724E8</v>
      </c>
      <c r="X2" s="5"/>
      <c r="Y2" s="8">
        <f t="shared" ref="Y2:Y140" si="1">NOW()</f>
        <v>45901.32789</v>
      </c>
      <c r="Z2" s="5"/>
      <c r="AA2" s="6" t="s">
        <v>66</v>
      </c>
      <c r="AB2" s="6" t="s">
        <v>67</v>
      </c>
      <c r="AC2" s="5"/>
      <c r="AD2" s="5"/>
      <c r="AE2" s="5"/>
      <c r="AF2" s="5"/>
      <c r="AG2" s="5"/>
      <c r="AH2" s="5"/>
      <c r="AI2" s="5"/>
      <c r="AJ2" s="5"/>
      <c r="AK2" s="5"/>
      <c r="AL2" s="6" t="s">
        <v>63</v>
      </c>
      <c r="AM2" s="5"/>
      <c r="AN2" s="5"/>
      <c r="AO2" s="5"/>
      <c r="AP2" s="6" t="s">
        <v>68</v>
      </c>
      <c r="AQ2" s="5"/>
      <c r="AR2" s="5"/>
      <c r="AS2" s="5"/>
      <c r="AT2" s="5"/>
      <c r="AU2" s="5"/>
      <c r="AV2" s="5"/>
      <c r="AW2" s="5"/>
      <c r="AX2" s="5"/>
      <c r="AY2" s="6" t="s">
        <v>59</v>
      </c>
      <c r="AZ2" s="5"/>
      <c r="BA2" s="5"/>
      <c r="BB2" s="6" t="s">
        <v>69</v>
      </c>
      <c r="BC2" s="5"/>
      <c r="BD2" s="6" t="s">
        <v>69</v>
      </c>
      <c r="BE2" s="6">
        <v>1001.0</v>
      </c>
    </row>
    <row r="3">
      <c r="A3" s="6"/>
      <c r="B3" s="6" t="s">
        <v>70</v>
      </c>
      <c r="C3" s="6" t="s">
        <v>71</v>
      </c>
      <c r="D3" s="6" t="s">
        <v>56</v>
      </c>
      <c r="E3" s="5"/>
      <c r="F3" s="6" t="s">
        <v>57</v>
      </c>
      <c r="G3" s="6" t="s">
        <v>57</v>
      </c>
      <c r="H3" s="6" t="s">
        <v>58</v>
      </c>
      <c r="I3" s="7" t="s">
        <v>59</v>
      </c>
      <c r="J3" s="7"/>
      <c r="K3" s="6" t="s">
        <v>60</v>
      </c>
      <c r="L3" s="6" t="s">
        <v>61</v>
      </c>
      <c r="M3" s="6" t="s">
        <v>61</v>
      </c>
      <c r="N3" s="6" t="s">
        <v>72</v>
      </c>
      <c r="O3" s="9">
        <v>41917.0</v>
      </c>
      <c r="P3" s="6" t="s">
        <v>73</v>
      </c>
      <c r="Q3" s="6" t="s">
        <v>63</v>
      </c>
      <c r="R3" s="5"/>
      <c r="S3" s="6" t="s">
        <v>65</v>
      </c>
      <c r="T3" s="5"/>
      <c r="U3" s="5"/>
      <c r="V3" s="5"/>
      <c r="W3" s="5"/>
      <c r="X3" s="5"/>
      <c r="Y3" s="8">
        <f t="shared" si="1"/>
        <v>45901.32789</v>
      </c>
      <c r="Z3" s="5"/>
      <c r="AA3" s="6" t="s">
        <v>66</v>
      </c>
      <c r="AB3" s="6" t="s">
        <v>67</v>
      </c>
      <c r="AC3" s="5"/>
      <c r="AD3" s="6"/>
      <c r="AE3" s="5"/>
      <c r="AF3" s="5"/>
      <c r="AG3" s="5"/>
      <c r="AH3" s="5"/>
      <c r="AI3" s="5"/>
      <c r="AJ3" s="5"/>
      <c r="AK3" s="5"/>
      <c r="AL3" s="6" t="s">
        <v>63</v>
      </c>
      <c r="AM3" s="5"/>
      <c r="AN3" s="5"/>
      <c r="AO3" s="5"/>
      <c r="AP3" s="5"/>
      <c r="AQ3" s="5"/>
      <c r="AR3" s="5"/>
      <c r="AS3" s="5"/>
      <c r="AT3" s="5"/>
      <c r="AU3" s="5"/>
      <c r="AV3" s="5"/>
      <c r="AW3" s="5"/>
      <c r="AX3" s="5"/>
      <c r="AY3" s="6" t="s">
        <v>59</v>
      </c>
      <c r="AZ3" s="5"/>
      <c r="BA3" s="5"/>
      <c r="BB3" s="6" t="s">
        <v>69</v>
      </c>
      <c r="BC3" s="5"/>
      <c r="BD3" s="6" t="s">
        <v>69</v>
      </c>
      <c r="BE3" s="6">
        <v>1001.0</v>
      </c>
    </row>
    <row r="4">
      <c r="A4" s="6"/>
      <c r="B4" s="6" t="s">
        <v>74</v>
      </c>
      <c r="C4" s="6" t="s">
        <v>75</v>
      </c>
      <c r="D4" s="6" t="s">
        <v>76</v>
      </c>
      <c r="E4" s="5"/>
      <c r="F4" s="6" t="s">
        <v>77</v>
      </c>
      <c r="G4" s="6" t="s">
        <v>77</v>
      </c>
      <c r="H4" s="6" t="s">
        <v>78</v>
      </c>
      <c r="I4" s="7" t="s">
        <v>59</v>
      </c>
      <c r="J4" s="7"/>
      <c r="K4" s="6" t="s">
        <v>79</v>
      </c>
      <c r="L4" s="6" t="s">
        <v>61</v>
      </c>
      <c r="M4" s="6" t="s">
        <v>80</v>
      </c>
      <c r="N4" s="6" t="s">
        <v>61</v>
      </c>
      <c r="O4" s="6">
        <v>2011.0</v>
      </c>
      <c r="P4" s="6" t="s">
        <v>81</v>
      </c>
      <c r="Q4" s="6" t="s">
        <v>63</v>
      </c>
      <c r="R4" s="6" t="s">
        <v>82</v>
      </c>
      <c r="S4" s="6" t="s">
        <v>83</v>
      </c>
      <c r="T4" s="5"/>
      <c r="U4" s="5"/>
      <c r="V4" s="5"/>
      <c r="W4" s="5"/>
      <c r="X4" s="5"/>
      <c r="Y4" s="8">
        <f t="shared" si="1"/>
        <v>45901.32789</v>
      </c>
      <c r="Z4" s="5"/>
      <c r="AA4" s="6" t="s">
        <v>66</v>
      </c>
      <c r="AB4" s="6" t="s">
        <v>67</v>
      </c>
      <c r="AC4" s="5"/>
      <c r="AD4" s="5"/>
      <c r="AE4" s="5"/>
      <c r="AF4" s="5"/>
      <c r="AG4" s="5"/>
      <c r="AH4" s="5"/>
      <c r="AI4" s="5"/>
      <c r="AJ4" s="5"/>
      <c r="AK4" s="5"/>
      <c r="AL4" s="6" t="s">
        <v>63</v>
      </c>
      <c r="AM4" s="5"/>
      <c r="AN4" s="5"/>
      <c r="AO4" s="5"/>
      <c r="AP4" s="6" t="s">
        <v>84</v>
      </c>
      <c r="AQ4" s="5"/>
      <c r="AR4" s="5"/>
      <c r="AS4" s="5"/>
      <c r="AT4" s="5"/>
      <c r="AU4" s="5"/>
      <c r="AV4" s="5"/>
      <c r="AW4" s="5"/>
      <c r="AX4" s="5"/>
      <c r="AY4" s="6" t="s">
        <v>59</v>
      </c>
      <c r="AZ4" s="5"/>
      <c r="BA4" s="5"/>
      <c r="BB4" s="6" t="s">
        <v>69</v>
      </c>
      <c r="BC4" s="5"/>
      <c r="BD4" s="6" t="s">
        <v>69</v>
      </c>
      <c r="BE4" s="6">
        <v>1001.0</v>
      </c>
    </row>
    <row r="5">
      <c r="A5" s="6"/>
      <c r="B5" s="6" t="s">
        <v>85</v>
      </c>
      <c r="C5" s="6" t="s">
        <v>86</v>
      </c>
      <c r="D5" s="5"/>
      <c r="E5" s="5"/>
      <c r="F5" s="5"/>
      <c r="G5" s="6" t="s">
        <v>87</v>
      </c>
      <c r="H5" s="6" t="s">
        <v>88</v>
      </c>
      <c r="I5" s="10" t="s">
        <v>88</v>
      </c>
      <c r="J5" s="10"/>
      <c r="K5" s="5"/>
      <c r="L5" s="6" t="s">
        <v>72</v>
      </c>
      <c r="M5" s="5"/>
      <c r="N5" s="5"/>
      <c r="O5" s="5"/>
      <c r="P5" s="6" t="s">
        <v>89</v>
      </c>
      <c r="Q5" s="6" t="s">
        <v>63</v>
      </c>
      <c r="R5" s="6" t="s">
        <v>64</v>
      </c>
      <c r="S5" s="6" t="s">
        <v>90</v>
      </c>
      <c r="T5" s="5"/>
      <c r="U5" s="5"/>
      <c r="V5" s="5"/>
      <c r="W5" s="5"/>
      <c r="X5" s="5"/>
      <c r="Y5" s="8">
        <f t="shared" si="1"/>
        <v>45901.32789</v>
      </c>
      <c r="Z5" s="5"/>
      <c r="AA5" s="6" t="s">
        <v>66</v>
      </c>
      <c r="AB5" s="6" t="s">
        <v>67</v>
      </c>
      <c r="AC5" s="5"/>
      <c r="AD5" s="5"/>
      <c r="AE5" s="5"/>
      <c r="AF5" s="5"/>
      <c r="AG5" s="5"/>
      <c r="AH5" s="5"/>
      <c r="AI5" s="5"/>
      <c r="AJ5" s="5"/>
      <c r="AK5" s="5"/>
      <c r="AL5" s="6" t="s">
        <v>63</v>
      </c>
      <c r="AM5" s="5"/>
      <c r="AN5" s="5"/>
      <c r="AO5" s="5"/>
      <c r="AP5" s="5"/>
      <c r="AQ5" s="5"/>
      <c r="AR5" s="5"/>
      <c r="AS5" s="5"/>
      <c r="AT5" s="5"/>
      <c r="AU5" s="5"/>
      <c r="AV5" s="5"/>
      <c r="AW5" s="5"/>
      <c r="AX5" s="5"/>
      <c r="AY5" s="6" t="s">
        <v>88</v>
      </c>
      <c r="AZ5" s="6"/>
      <c r="BA5" s="5"/>
      <c r="BB5" s="6" t="s">
        <v>69</v>
      </c>
      <c r="BC5" s="5"/>
      <c r="BD5" s="6" t="s">
        <v>69</v>
      </c>
      <c r="BE5" s="6">
        <v>1001.0</v>
      </c>
    </row>
    <row r="6">
      <c r="A6" s="6"/>
      <c r="B6" s="6" t="s">
        <v>91</v>
      </c>
      <c r="C6" s="6" t="s">
        <v>92</v>
      </c>
      <c r="D6" s="5"/>
      <c r="E6" s="5"/>
      <c r="F6" s="6" t="s">
        <v>93</v>
      </c>
      <c r="G6" s="6" t="s">
        <v>93</v>
      </c>
      <c r="H6" s="6" t="s">
        <v>94</v>
      </c>
      <c r="I6" s="10"/>
      <c r="J6" s="10"/>
      <c r="K6" s="5"/>
      <c r="L6" s="6" t="s">
        <v>72</v>
      </c>
      <c r="M6" s="6" t="s">
        <v>72</v>
      </c>
      <c r="N6" s="6" t="s">
        <v>72</v>
      </c>
      <c r="O6" s="6">
        <v>2010.0</v>
      </c>
      <c r="P6" s="6" t="s">
        <v>95</v>
      </c>
      <c r="Q6" s="6" t="s">
        <v>63</v>
      </c>
      <c r="R6" s="6" t="s">
        <v>82</v>
      </c>
      <c r="S6" s="6" t="s">
        <v>96</v>
      </c>
      <c r="T6" s="6">
        <v>7.02027441E8</v>
      </c>
      <c r="U6" s="5"/>
      <c r="V6" s="5"/>
      <c r="W6" s="6">
        <v>7.08344546E8</v>
      </c>
      <c r="X6" s="5"/>
      <c r="Y6" s="8">
        <f t="shared" si="1"/>
        <v>45901.32789</v>
      </c>
      <c r="Z6" s="5"/>
      <c r="AA6" s="6" t="s">
        <v>66</v>
      </c>
      <c r="AB6" s="6" t="s">
        <v>67</v>
      </c>
      <c r="AC6" s="5"/>
      <c r="AD6" s="5"/>
      <c r="AE6" s="5"/>
      <c r="AF6" s="5"/>
      <c r="AG6" s="5"/>
      <c r="AH6" s="5"/>
      <c r="AI6" s="5"/>
      <c r="AJ6" s="5"/>
      <c r="AK6" s="5"/>
      <c r="AL6" s="6" t="s">
        <v>63</v>
      </c>
      <c r="AM6" s="6">
        <v>1969.0</v>
      </c>
      <c r="AN6" s="6" t="s">
        <v>97</v>
      </c>
      <c r="AO6" s="5"/>
      <c r="AP6" s="5"/>
      <c r="AQ6" s="5"/>
      <c r="AR6" s="5"/>
      <c r="AS6" s="5"/>
      <c r="AT6" s="5"/>
      <c r="AU6" s="5"/>
      <c r="AV6" s="5"/>
      <c r="AW6" s="5"/>
      <c r="AX6" s="5"/>
      <c r="AY6" s="5"/>
      <c r="AZ6" s="5"/>
      <c r="BA6" s="5"/>
      <c r="BB6" s="6" t="s">
        <v>69</v>
      </c>
      <c r="BC6" s="5"/>
      <c r="BD6" s="6" t="s">
        <v>69</v>
      </c>
      <c r="BE6" s="6">
        <v>1001.0</v>
      </c>
    </row>
    <row r="7">
      <c r="A7" s="6"/>
      <c r="B7" s="6" t="s">
        <v>98</v>
      </c>
      <c r="C7" s="6" t="s">
        <v>99</v>
      </c>
      <c r="D7" s="6" t="s">
        <v>100</v>
      </c>
      <c r="E7" s="5"/>
      <c r="F7" s="6" t="s">
        <v>101</v>
      </c>
      <c r="G7" s="6" t="s">
        <v>101</v>
      </c>
      <c r="H7" s="6" t="s">
        <v>72</v>
      </c>
      <c r="I7" s="10" t="s">
        <v>102</v>
      </c>
      <c r="J7" s="10" t="s">
        <v>72</v>
      </c>
      <c r="K7" s="5"/>
      <c r="L7" s="6" t="s">
        <v>72</v>
      </c>
      <c r="M7" s="6" t="s">
        <v>103</v>
      </c>
      <c r="N7" s="6" t="s">
        <v>72</v>
      </c>
      <c r="O7" s="6">
        <v>2009.0</v>
      </c>
      <c r="P7" s="6" t="s">
        <v>104</v>
      </c>
      <c r="Q7" s="6" t="s">
        <v>63</v>
      </c>
      <c r="R7" s="6" t="s">
        <v>64</v>
      </c>
      <c r="S7" s="6" t="s">
        <v>105</v>
      </c>
      <c r="T7" s="5"/>
      <c r="U7" s="5"/>
      <c r="V7" s="5"/>
      <c r="W7" s="5"/>
      <c r="X7" s="5"/>
      <c r="Y7" s="8">
        <f t="shared" si="1"/>
        <v>45901.32789</v>
      </c>
      <c r="Z7" s="5"/>
      <c r="AA7" s="6" t="s">
        <v>66</v>
      </c>
      <c r="AB7" s="6" t="s">
        <v>67</v>
      </c>
      <c r="AC7" s="5"/>
      <c r="AD7" s="5"/>
      <c r="AE7" s="5"/>
      <c r="AF7" s="5"/>
      <c r="AG7" s="5"/>
      <c r="AH7" s="5"/>
      <c r="AI7" s="5"/>
      <c r="AJ7" s="5"/>
      <c r="AK7" s="5"/>
      <c r="AL7" s="6" t="s">
        <v>63</v>
      </c>
      <c r="AM7" s="5"/>
      <c r="AN7" s="5"/>
      <c r="AO7" s="5"/>
      <c r="AP7" s="6" t="s">
        <v>106</v>
      </c>
      <c r="AQ7" s="5"/>
      <c r="AR7" s="5"/>
      <c r="AS7" s="5"/>
      <c r="AT7" s="5"/>
      <c r="AU7" s="5"/>
      <c r="AV7" s="5"/>
      <c r="AW7" s="5"/>
      <c r="AX7" s="5"/>
      <c r="AY7" s="6" t="s">
        <v>102</v>
      </c>
      <c r="AZ7" s="6" t="s">
        <v>72</v>
      </c>
      <c r="BA7" s="5"/>
      <c r="BB7" s="6" t="s">
        <v>69</v>
      </c>
      <c r="BC7" s="5"/>
      <c r="BD7" s="6" t="s">
        <v>69</v>
      </c>
      <c r="BE7" s="6">
        <v>1001.0</v>
      </c>
    </row>
    <row r="8">
      <c r="A8" s="6"/>
      <c r="B8" s="6" t="s">
        <v>107</v>
      </c>
      <c r="C8" s="6" t="s">
        <v>108</v>
      </c>
      <c r="D8" s="5"/>
      <c r="E8" s="5"/>
      <c r="F8" s="6" t="s">
        <v>109</v>
      </c>
      <c r="G8" s="6" t="s">
        <v>109</v>
      </c>
      <c r="H8" s="6" t="s">
        <v>110</v>
      </c>
      <c r="I8" s="7" t="s">
        <v>110</v>
      </c>
      <c r="J8" s="7" t="s">
        <v>111</v>
      </c>
      <c r="K8" s="6" t="s">
        <v>112</v>
      </c>
      <c r="L8" s="6" t="s">
        <v>72</v>
      </c>
      <c r="M8" s="6" t="s">
        <v>72</v>
      </c>
      <c r="N8" s="6" t="s">
        <v>72</v>
      </c>
      <c r="O8" s="6">
        <v>2010.0</v>
      </c>
      <c r="P8" s="6" t="s">
        <v>113</v>
      </c>
      <c r="Q8" s="6" t="s">
        <v>63</v>
      </c>
      <c r="R8" s="6" t="s">
        <v>82</v>
      </c>
      <c r="S8" s="6" t="s">
        <v>114</v>
      </c>
      <c r="T8" s="5"/>
      <c r="U8" s="5"/>
      <c r="V8" s="5"/>
      <c r="W8" s="5"/>
      <c r="X8" s="5"/>
      <c r="Y8" s="8">
        <f t="shared" si="1"/>
        <v>45901.32789</v>
      </c>
      <c r="Z8" s="5"/>
      <c r="AA8" s="6" t="s">
        <v>66</v>
      </c>
      <c r="AB8" s="6" t="s">
        <v>67</v>
      </c>
      <c r="AC8" s="5"/>
      <c r="AD8" s="5"/>
      <c r="AE8" s="5"/>
      <c r="AF8" s="5"/>
      <c r="AG8" s="5"/>
      <c r="AH8" s="5"/>
      <c r="AI8" s="5"/>
      <c r="AJ8" s="5"/>
      <c r="AK8" s="5"/>
      <c r="AL8" s="6" t="s">
        <v>63</v>
      </c>
      <c r="AM8" s="5"/>
      <c r="AN8" s="5"/>
      <c r="AO8" s="5"/>
      <c r="AP8" s="5"/>
      <c r="AQ8" s="5"/>
      <c r="AR8" s="5"/>
      <c r="AS8" s="5"/>
      <c r="AT8" s="5"/>
      <c r="AU8" s="5"/>
      <c r="AV8" s="5"/>
      <c r="AW8" s="5"/>
      <c r="AX8" s="5"/>
      <c r="AY8" s="6" t="s">
        <v>110</v>
      </c>
      <c r="AZ8" s="6" t="s">
        <v>111</v>
      </c>
      <c r="BA8" s="5"/>
      <c r="BB8" s="6" t="s">
        <v>69</v>
      </c>
      <c r="BC8" s="5"/>
      <c r="BD8" s="6" t="s">
        <v>69</v>
      </c>
      <c r="BE8" s="6">
        <v>1001.0</v>
      </c>
    </row>
    <row r="9">
      <c r="A9" s="6"/>
      <c r="B9" s="6" t="s">
        <v>115</v>
      </c>
      <c r="C9" s="6" t="s">
        <v>116</v>
      </c>
      <c r="D9" s="6" t="s">
        <v>117</v>
      </c>
      <c r="E9" s="6">
        <v>8.0</v>
      </c>
      <c r="F9" s="5"/>
      <c r="G9" s="5"/>
      <c r="H9" s="6" t="s">
        <v>118</v>
      </c>
      <c r="I9" s="7" t="s">
        <v>119</v>
      </c>
      <c r="J9" s="7" t="s">
        <v>120</v>
      </c>
      <c r="K9" s="6" t="s">
        <v>121</v>
      </c>
      <c r="L9" s="6" t="s">
        <v>72</v>
      </c>
      <c r="M9" s="6" t="s">
        <v>122</v>
      </c>
      <c r="N9" s="6" t="s">
        <v>61</v>
      </c>
      <c r="O9" s="6">
        <v>1392.0</v>
      </c>
      <c r="P9" s="6">
        <v>3.0528118E7</v>
      </c>
      <c r="Q9" s="6" t="s">
        <v>63</v>
      </c>
      <c r="R9" s="6" t="s">
        <v>82</v>
      </c>
      <c r="S9" s="6" t="s">
        <v>123</v>
      </c>
      <c r="T9" s="6">
        <v>7.81248474E8</v>
      </c>
      <c r="U9" s="5"/>
      <c r="V9" s="5"/>
      <c r="W9" s="6">
        <v>7.81248474E8</v>
      </c>
      <c r="X9" s="5"/>
      <c r="Y9" s="8">
        <f t="shared" si="1"/>
        <v>45901.32789</v>
      </c>
      <c r="Z9" s="5"/>
      <c r="AA9" s="6" t="s">
        <v>66</v>
      </c>
      <c r="AB9" s="6" t="s">
        <v>67</v>
      </c>
      <c r="AC9" s="5"/>
      <c r="AD9" s="5"/>
      <c r="AE9" s="5"/>
      <c r="AF9" s="5"/>
      <c r="AG9" s="5"/>
      <c r="AH9" s="5"/>
      <c r="AI9" s="5"/>
      <c r="AJ9" s="5"/>
      <c r="AK9" s="5"/>
      <c r="AL9" s="6" t="s">
        <v>63</v>
      </c>
      <c r="AM9" s="5"/>
      <c r="AN9" s="5"/>
      <c r="AO9" s="5"/>
      <c r="AP9" s="6" t="s">
        <v>59</v>
      </c>
      <c r="AQ9" s="5"/>
      <c r="AR9" s="5"/>
      <c r="AS9" s="5"/>
      <c r="AT9" s="5"/>
      <c r="AU9" s="5"/>
      <c r="AV9" s="5"/>
      <c r="AW9" s="5"/>
      <c r="AX9" s="5"/>
      <c r="AY9" s="6" t="s">
        <v>119</v>
      </c>
      <c r="AZ9" s="6" t="s">
        <v>120</v>
      </c>
      <c r="BA9" s="5"/>
      <c r="BB9" s="6" t="s">
        <v>69</v>
      </c>
      <c r="BC9" s="5"/>
      <c r="BD9" s="6" t="s">
        <v>69</v>
      </c>
      <c r="BE9" s="6">
        <v>1001.0</v>
      </c>
    </row>
    <row r="10">
      <c r="A10" s="6"/>
      <c r="B10" s="6" t="s">
        <v>124</v>
      </c>
      <c r="C10" s="6" t="s">
        <v>125</v>
      </c>
      <c r="D10" s="6" t="s">
        <v>126</v>
      </c>
      <c r="E10" s="5"/>
      <c r="F10" s="6" t="s">
        <v>127</v>
      </c>
      <c r="G10" s="6" t="s">
        <v>127</v>
      </c>
      <c r="H10" s="6" t="s">
        <v>61</v>
      </c>
      <c r="I10" s="7" t="s">
        <v>61</v>
      </c>
      <c r="J10" s="7" t="s">
        <v>61</v>
      </c>
      <c r="K10" s="6" t="s">
        <v>128</v>
      </c>
      <c r="L10" s="6" t="s">
        <v>72</v>
      </c>
      <c r="M10" s="6" t="s">
        <v>129</v>
      </c>
      <c r="N10" s="6" t="s">
        <v>61</v>
      </c>
      <c r="O10" s="6">
        <v>2016.0</v>
      </c>
      <c r="P10" s="6" t="s">
        <v>130</v>
      </c>
      <c r="Q10" s="6" t="s">
        <v>63</v>
      </c>
      <c r="R10" s="6" t="s">
        <v>64</v>
      </c>
      <c r="S10" s="6" t="s">
        <v>131</v>
      </c>
      <c r="T10" s="6" t="s">
        <v>59</v>
      </c>
      <c r="U10" s="5"/>
      <c r="V10" s="5"/>
      <c r="W10" s="6" t="s">
        <v>59</v>
      </c>
      <c r="X10" s="5"/>
      <c r="Y10" s="8">
        <f t="shared" si="1"/>
        <v>45901.32789</v>
      </c>
      <c r="Z10" s="5"/>
      <c r="AA10" s="6" t="s">
        <v>66</v>
      </c>
      <c r="AB10" s="6" t="s">
        <v>67</v>
      </c>
      <c r="AC10" s="5"/>
      <c r="AD10" s="5"/>
      <c r="AE10" s="5"/>
      <c r="AF10" s="5"/>
      <c r="AG10" s="5"/>
      <c r="AH10" s="5"/>
      <c r="AI10" s="5"/>
      <c r="AJ10" s="5"/>
      <c r="AK10" s="5"/>
      <c r="AL10" s="6" t="s">
        <v>63</v>
      </c>
      <c r="AM10" s="5"/>
      <c r="AN10" s="5"/>
      <c r="AO10" s="5"/>
      <c r="AP10" s="6" t="s">
        <v>106</v>
      </c>
      <c r="AQ10" s="5"/>
      <c r="AR10" s="5"/>
      <c r="AS10" s="5"/>
      <c r="AT10" s="5"/>
      <c r="AU10" s="5"/>
      <c r="AV10" s="5"/>
      <c r="AW10" s="5"/>
      <c r="AX10" s="5"/>
      <c r="AY10" s="6" t="s">
        <v>61</v>
      </c>
      <c r="AZ10" s="6" t="s">
        <v>61</v>
      </c>
      <c r="BA10" s="5"/>
      <c r="BB10" s="6" t="s">
        <v>69</v>
      </c>
      <c r="BC10" s="5"/>
      <c r="BD10" s="6" t="s">
        <v>69</v>
      </c>
      <c r="BE10" s="6">
        <v>1001.0</v>
      </c>
    </row>
    <row r="11">
      <c r="A11" s="6"/>
      <c r="B11" s="6" t="s">
        <v>132</v>
      </c>
      <c r="C11" s="6" t="s">
        <v>133</v>
      </c>
      <c r="D11" s="6" t="s">
        <v>134</v>
      </c>
      <c r="E11" s="5"/>
      <c r="F11" s="6" t="s">
        <v>135</v>
      </c>
      <c r="G11" s="6" t="s">
        <v>135</v>
      </c>
      <c r="H11" s="6" t="s">
        <v>61</v>
      </c>
      <c r="I11" s="7" t="s">
        <v>61</v>
      </c>
      <c r="J11" s="7" t="s">
        <v>61</v>
      </c>
      <c r="K11" s="6" t="s">
        <v>136</v>
      </c>
      <c r="L11" s="6" t="s">
        <v>72</v>
      </c>
      <c r="M11" s="6" t="s">
        <v>137</v>
      </c>
      <c r="N11" s="6" t="s">
        <v>61</v>
      </c>
      <c r="O11" s="6">
        <v>2011.0</v>
      </c>
      <c r="P11" s="6" t="s">
        <v>138</v>
      </c>
      <c r="Q11" s="6" t="s">
        <v>63</v>
      </c>
      <c r="R11" s="6" t="s">
        <v>64</v>
      </c>
      <c r="S11" s="6" t="s">
        <v>139</v>
      </c>
      <c r="T11" s="5">
        <f>93783776004</f>
        <v>93783776004</v>
      </c>
      <c r="U11" s="5"/>
      <c r="V11" s="5"/>
      <c r="W11" s="5">
        <f>93783776004</f>
        <v>93783776004</v>
      </c>
      <c r="X11" s="5"/>
      <c r="Y11" s="8">
        <f t="shared" si="1"/>
        <v>45901.32789</v>
      </c>
      <c r="Z11" s="5"/>
      <c r="AA11" s="6" t="s">
        <v>66</v>
      </c>
      <c r="AB11" s="6" t="s">
        <v>67</v>
      </c>
      <c r="AC11" s="5"/>
      <c r="AD11" s="5"/>
      <c r="AE11" s="5"/>
      <c r="AF11" s="5"/>
      <c r="AG11" s="5"/>
      <c r="AH11" s="5"/>
      <c r="AI11" s="5"/>
      <c r="AJ11" s="5"/>
      <c r="AK11" s="5"/>
      <c r="AL11" s="6" t="s">
        <v>63</v>
      </c>
      <c r="AM11" s="5"/>
      <c r="AN11" s="5"/>
      <c r="AO11" s="5"/>
      <c r="AP11" s="6" t="s">
        <v>106</v>
      </c>
      <c r="AQ11" s="5"/>
      <c r="AR11" s="5"/>
      <c r="AS11" s="5"/>
      <c r="AT11" s="5"/>
      <c r="AU11" s="5"/>
      <c r="AV11" s="5"/>
      <c r="AW11" s="5"/>
      <c r="AX11" s="5"/>
      <c r="AY11" s="6" t="s">
        <v>61</v>
      </c>
      <c r="AZ11" s="6" t="s">
        <v>61</v>
      </c>
      <c r="BA11" s="5"/>
      <c r="BB11" s="6" t="s">
        <v>69</v>
      </c>
      <c r="BC11" s="5"/>
      <c r="BD11" s="6" t="s">
        <v>69</v>
      </c>
      <c r="BE11" s="6">
        <v>1001.0</v>
      </c>
    </row>
    <row r="12">
      <c r="A12" s="6"/>
      <c r="B12" s="6" t="s">
        <v>140</v>
      </c>
      <c r="C12" s="6" t="s">
        <v>141</v>
      </c>
      <c r="D12" s="5"/>
      <c r="E12" s="5"/>
      <c r="F12" s="6" t="s">
        <v>142</v>
      </c>
      <c r="G12" s="6" t="s">
        <v>142</v>
      </c>
      <c r="H12" s="6" t="s">
        <v>88</v>
      </c>
      <c r="I12" s="10" t="s">
        <v>88</v>
      </c>
      <c r="J12" s="10" t="s">
        <v>88</v>
      </c>
      <c r="K12" s="5"/>
      <c r="L12" s="6" t="s">
        <v>72</v>
      </c>
      <c r="M12" s="6" t="s">
        <v>72</v>
      </c>
      <c r="N12" s="6" t="s">
        <v>61</v>
      </c>
      <c r="O12" s="6">
        <v>2013.0</v>
      </c>
      <c r="P12" s="6" t="s">
        <v>143</v>
      </c>
      <c r="Q12" s="6" t="s">
        <v>63</v>
      </c>
      <c r="R12" s="6" t="s">
        <v>64</v>
      </c>
      <c r="S12" s="6" t="s">
        <v>144</v>
      </c>
      <c r="T12" s="5"/>
      <c r="U12" s="5"/>
      <c r="V12" s="5"/>
      <c r="W12" s="5"/>
      <c r="X12" s="5"/>
      <c r="Y12" s="8">
        <f t="shared" si="1"/>
        <v>45901.32789</v>
      </c>
      <c r="Z12" s="5"/>
      <c r="AA12" s="6" t="s">
        <v>66</v>
      </c>
      <c r="AB12" s="6" t="s">
        <v>67</v>
      </c>
      <c r="AC12" s="5"/>
      <c r="AD12" s="5"/>
      <c r="AE12" s="5"/>
      <c r="AF12" s="5"/>
      <c r="AG12" s="5"/>
      <c r="AH12" s="5"/>
      <c r="AI12" s="5"/>
      <c r="AJ12" s="5"/>
      <c r="AK12" s="5"/>
      <c r="AL12" s="6" t="s">
        <v>63</v>
      </c>
      <c r="AM12" s="5"/>
      <c r="AN12" s="5"/>
      <c r="AO12" s="5"/>
      <c r="AP12" s="5"/>
      <c r="AQ12" s="5"/>
      <c r="AR12" s="5"/>
      <c r="AS12" s="5"/>
      <c r="AT12" s="5"/>
      <c r="AU12" s="5"/>
      <c r="AV12" s="5"/>
      <c r="AW12" s="5"/>
      <c r="AX12" s="5"/>
      <c r="AY12" s="6" t="s">
        <v>88</v>
      </c>
      <c r="AZ12" s="6" t="s">
        <v>88</v>
      </c>
      <c r="BA12" s="5"/>
      <c r="BB12" s="6" t="s">
        <v>69</v>
      </c>
      <c r="BC12" s="5"/>
      <c r="BD12" s="6" t="s">
        <v>69</v>
      </c>
      <c r="BE12" s="6">
        <v>1001.0</v>
      </c>
    </row>
    <row r="13">
      <c r="A13" s="6"/>
      <c r="B13" s="6" t="s">
        <v>145</v>
      </c>
      <c r="C13" s="6" t="s">
        <v>146</v>
      </c>
      <c r="D13" s="5"/>
      <c r="E13" s="5"/>
      <c r="F13" s="6" t="s">
        <v>147</v>
      </c>
      <c r="G13" s="6" t="s">
        <v>147</v>
      </c>
      <c r="H13" s="6" t="s">
        <v>72</v>
      </c>
      <c r="I13" s="7" t="s">
        <v>72</v>
      </c>
      <c r="J13" s="7" t="s">
        <v>72</v>
      </c>
      <c r="K13" s="6" t="s">
        <v>136</v>
      </c>
      <c r="L13" s="6" t="s">
        <v>72</v>
      </c>
      <c r="M13" s="6" t="s">
        <v>148</v>
      </c>
      <c r="N13" s="6" t="s">
        <v>72</v>
      </c>
      <c r="O13" s="6">
        <v>2011.0</v>
      </c>
      <c r="P13" s="6" t="s">
        <v>149</v>
      </c>
      <c r="Q13" s="6" t="s">
        <v>63</v>
      </c>
      <c r="R13" s="6" t="s">
        <v>64</v>
      </c>
      <c r="S13" s="6" t="s">
        <v>150</v>
      </c>
      <c r="T13" s="5"/>
      <c r="U13" s="5"/>
      <c r="V13" s="5"/>
      <c r="W13" s="5"/>
      <c r="X13" s="5"/>
      <c r="Y13" s="8">
        <f t="shared" si="1"/>
        <v>45901.32789</v>
      </c>
      <c r="Z13" s="5"/>
      <c r="AA13" s="6" t="s">
        <v>66</v>
      </c>
      <c r="AB13" s="6" t="s">
        <v>67</v>
      </c>
      <c r="AC13" s="5"/>
      <c r="AD13" s="5"/>
      <c r="AE13" s="5"/>
      <c r="AF13" s="5"/>
      <c r="AG13" s="5"/>
      <c r="AH13" s="5"/>
      <c r="AI13" s="5"/>
      <c r="AJ13" s="5"/>
      <c r="AK13" s="5"/>
      <c r="AL13" s="6" t="s">
        <v>63</v>
      </c>
      <c r="AM13" s="5"/>
      <c r="AN13" s="5"/>
      <c r="AO13" s="5"/>
      <c r="AP13" s="6" t="s">
        <v>151</v>
      </c>
      <c r="AQ13" s="5"/>
      <c r="AR13" s="5"/>
      <c r="AS13" s="5"/>
      <c r="AT13" s="5"/>
      <c r="AU13" s="5"/>
      <c r="AV13" s="5"/>
      <c r="AW13" s="5"/>
      <c r="AX13" s="5"/>
      <c r="AY13" s="6" t="s">
        <v>72</v>
      </c>
      <c r="AZ13" s="6" t="s">
        <v>72</v>
      </c>
      <c r="BA13" s="5"/>
      <c r="BB13" s="6" t="s">
        <v>69</v>
      </c>
      <c r="BC13" s="5"/>
      <c r="BD13" s="6" t="s">
        <v>69</v>
      </c>
      <c r="BE13" s="6">
        <v>1001.0</v>
      </c>
    </row>
    <row r="14">
      <c r="A14" s="6">
        <v>740.0</v>
      </c>
      <c r="B14" s="6" t="s">
        <v>152</v>
      </c>
      <c r="C14" s="6" t="s">
        <v>153</v>
      </c>
      <c r="D14" s="6" t="s">
        <v>154</v>
      </c>
      <c r="E14" s="5"/>
      <c r="F14" s="6" t="s">
        <v>155</v>
      </c>
      <c r="G14" s="6" t="s">
        <v>155</v>
      </c>
      <c r="H14" s="6" t="s">
        <v>156</v>
      </c>
      <c r="I14" s="7" t="s">
        <v>156</v>
      </c>
      <c r="J14" s="7" t="s">
        <v>156</v>
      </c>
      <c r="K14" s="6" t="s">
        <v>157</v>
      </c>
      <c r="L14" s="6" t="s">
        <v>61</v>
      </c>
      <c r="M14" s="6" t="s">
        <v>158</v>
      </c>
      <c r="N14" s="6" t="s">
        <v>72</v>
      </c>
      <c r="O14" s="9">
        <v>40043.0</v>
      </c>
      <c r="P14" s="6" t="s">
        <v>159</v>
      </c>
      <c r="Q14" s="6" t="s">
        <v>63</v>
      </c>
      <c r="R14" s="6" t="s">
        <v>82</v>
      </c>
      <c r="S14" s="6" t="s">
        <v>160</v>
      </c>
      <c r="T14" s="5"/>
      <c r="U14" s="5"/>
      <c r="V14" s="5"/>
      <c r="W14" s="6" t="s">
        <v>59</v>
      </c>
      <c r="X14" s="5"/>
      <c r="Y14" s="8">
        <f t="shared" si="1"/>
        <v>45901.32789</v>
      </c>
      <c r="Z14" s="5"/>
      <c r="AA14" s="6" t="s">
        <v>66</v>
      </c>
      <c r="AB14" s="6" t="s">
        <v>67</v>
      </c>
      <c r="AC14" s="5"/>
      <c r="AD14" s="5"/>
      <c r="AE14" s="5"/>
      <c r="AF14" s="5"/>
      <c r="AG14" s="5"/>
      <c r="AH14" s="5"/>
      <c r="AI14" s="5"/>
      <c r="AJ14" s="5"/>
      <c r="AK14" s="5"/>
      <c r="AL14" s="6" t="s">
        <v>63</v>
      </c>
      <c r="AM14" s="5"/>
      <c r="AN14" s="5"/>
      <c r="AO14" s="5"/>
      <c r="AP14" s="6" t="s">
        <v>161</v>
      </c>
      <c r="AQ14" s="5"/>
      <c r="AR14" s="5"/>
      <c r="AS14" s="5"/>
      <c r="AT14" s="5"/>
      <c r="AU14" s="5"/>
      <c r="AV14" s="5"/>
      <c r="AW14" s="5"/>
      <c r="AX14" s="5"/>
      <c r="AY14" s="6" t="s">
        <v>156</v>
      </c>
      <c r="AZ14" s="6" t="s">
        <v>156</v>
      </c>
      <c r="BA14" s="5"/>
      <c r="BB14" s="6" t="s">
        <v>69</v>
      </c>
      <c r="BC14" s="5"/>
      <c r="BD14" s="6" t="s">
        <v>69</v>
      </c>
      <c r="BE14" s="6">
        <v>1001.0</v>
      </c>
    </row>
    <row r="15">
      <c r="A15" s="6"/>
      <c r="B15" s="6" t="s">
        <v>162</v>
      </c>
      <c r="C15" s="6" t="s">
        <v>163</v>
      </c>
      <c r="D15" s="6" t="s">
        <v>164</v>
      </c>
      <c r="E15" s="5"/>
      <c r="F15" s="6" t="s">
        <v>165</v>
      </c>
      <c r="G15" s="6" t="s">
        <v>165</v>
      </c>
      <c r="H15" s="6" t="s">
        <v>166</v>
      </c>
      <c r="I15" s="7" t="s">
        <v>167</v>
      </c>
      <c r="J15" s="7" t="s">
        <v>166</v>
      </c>
      <c r="K15" s="6" t="s">
        <v>59</v>
      </c>
      <c r="L15" s="6" t="s">
        <v>61</v>
      </c>
      <c r="M15" s="6" t="s">
        <v>72</v>
      </c>
      <c r="N15" s="6" t="s">
        <v>72</v>
      </c>
      <c r="O15" s="6">
        <v>2013.0</v>
      </c>
      <c r="P15" s="6">
        <v>3.026259E7</v>
      </c>
      <c r="Q15" s="6" t="s">
        <v>63</v>
      </c>
      <c r="R15" s="6" t="s">
        <v>64</v>
      </c>
      <c r="S15" s="6" t="s">
        <v>168</v>
      </c>
      <c r="T15" s="5">
        <f>93783819278</f>
        <v>93783819278</v>
      </c>
      <c r="U15" s="5"/>
      <c r="V15" s="5"/>
      <c r="W15" s="5">
        <f>93783819278</f>
        <v>93783819278</v>
      </c>
      <c r="X15" s="5"/>
      <c r="Y15" s="8">
        <f t="shared" si="1"/>
        <v>45901.32789</v>
      </c>
      <c r="Z15" s="5"/>
      <c r="AA15" s="6" t="s">
        <v>66</v>
      </c>
      <c r="AB15" s="6" t="s">
        <v>67</v>
      </c>
      <c r="AC15" s="5"/>
      <c r="AD15" s="5"/>
      <c r="AE15" s="5"/>
      <c r="AF15" s="5"/>
      <c r="AG15" s="5"/>
      <c r="AH15" s="5"/>
      <c r="AI15" s="5"/>
      <c r="AJ15" s="5"/>
      <c r="AK15" s="5"/>
      <c r="AL15" s="6" t="s">
        <v>63</v>
      </c>
      <c r="AM15" s="5"/>
      <c r="AN15" s="5"/>
      <c r="AO15" s="5"/>
      <c r="AP15" s="6" t="s">
        <v>59</v>
      </c>
      <c r="AQ15" s="5"/>
      <c r="AR15" s="5"/>
      <c r="AS15" s="5"/>
      <c r="AT15" s="5"/>
      <c r="AU15" s="5"/>
      <c r="AV15" s="5"/>
      <c r="AW15" s="5"/>
      <c r="AX15" s="5"/>
      <c r="AY15" s="6" t="s">
        <v>167</v>
      </c>
      <c r="AZ15" s="6" t="s">
        <v>166</v>
      </c>
      <c r="BA15" s="5"/>
      <c r="BB15" s="6" t="s">
        <v>69</v>
      </c>
      <c r="BC15" s="5"/>
      <c r="BD15" s="6" t="s">
        <v>69</v>
      </c>
      <c r="BE15" s="6">
        <v>1001.0</v>
      </c>
    </row>
    <row r="16">
      <c r="A16" s="6"/>
      <c r="B16" s="6" t="s">
        <v>169</v>
      </c>
      <c r="C16" s="6" t="s">
        <v>170</v>
      </c>
      <c r="D16" s="5"/>
      <c r="E16" s="5"/>
      <c r="F16" s="5"/>
      <c r="G16" s="5"/>
      <c r="H16" s="5"/>
      <c r="I16" s="7"/>
      <c r="J16" s="7"/>
      <c r="K16" s="6" t="s">
        <v>136</v>
      </c>
      <c r="L16" s="6" t="s">
        <v>72</v>
      </c>
      <c r="M16" s="6" t="s">
        <v>72</v>
      </c>
      <c r="N16" s="6" t="s">
        <v>72</v>
      </c>
      <c r="O16" s="5"/>
      <c r="P16" s="5"/>
      <c r="Q16" s="6" t="s">
        <v>171</v>
      </c>
      <c r="R16" s="5"/>
      <c r="S16" s="6" t="s">
        <v>150</v>
      </c>
      <c r="T16" s="5"/>
      <c r="U16" s="5"/>
      <c r="V16" s="5"/>
      <c r="W16" s="5"/>
      <c r="X16" s="5"/>
      <c r="Y16" s="8">
        <f t="shared" si="1"/>
        <v>45901.32789</v>
      </c>
      <c r="Z16" s="5"/>
      <c r="AA16" s="6" t="s">
        <v>66</v>
      </c>
      <c r="AB16" s="6" t="s">
        <v>67</v>
      </c>
      <c r="AC16" s="5"/>
      <c r="AD16" s="5"/>
      <c r="AE16" s="5"/>
      <c r="AF16" s="5"/>
      <c r="AG16" s="5"/>
      <c r="AH16" s="5"/>
      <c r="AI16" s="5"/>
      <c r="AJ16" s="5"/>
      <c r="AK16" s="5"/>
      <c r="AL16" s="6" t="s">
        <v>63</v>
      </c>
      <c r="AM16" s="5"/>
      <c r="AN16" s="5"/>
      <c r="AO16" s="5"/>
      <c r="AP16" s="5"/>
      <c r="AQ16" s="5"/>
      <c r="AR16" s="5"/>
      <c r="AS16" s="5"/>
      <c r="AT16" s="5"/>
      <c r="AU16" s="5"/>
      <c r="AV16" s="5"/>
      <c r="AW16" s="5"/>
      <c r="AX16" s="5"/>
      <c r="AY16" s="5"/>
      <c r="AZ16" s="5"/>
      <c r="BA16" s="5"/>
      <c r="BB16" s="6" t="s">
        <v>69</v>
      </c>
      <c r="BC16" s="5"/>
      <c r="BD16" s="6" t="s">
        <v>69</v>
      </c>
      <c r="BE16" s="6">
        <v>1001.0</v>
      </c>
    </row>
    <row r="17">
      <c r="A17" s="6"/>
      <c r="B17" s="6" t="s">
        <v>172</v>
      </c>
      <c r="C17" s="6" t="s">
        <v>173</v>
      </c>
      <c r="D17" s="6" t="s">
        <v>174</v>
      </c>
      <c r="E17" s="5"/>
      <c r="F17" s="6" t="s">
        <v>142</v>
      </c>
      <c r="G17" s="6" t="s">
        <v>142</v>
      </c>
      <c r="H17" s="6" t="s">
        <v>175</v>
      </c>
      <c r="I17" s="7" t="s">
        <v>88</v>
      </c>
      <c r="J17" s="7" t="s">
        <v>88</v>
      </c>
      <c r="K17" s="6" t="s">
        <v>176</v>
      </c>
      <c r="L17" s="6" t="s">
        <v>72</v>
      </c>
      <c r="M17" s="6" t="s">
        <v>72</v>
      </c>
      <c r="N17" s="6" t="s">
        <v>72</v>
      </c>
      <c r="O17" s="11">
        <v>43147.0</v>
      </c>
      <c r="P17" s="6" t="s">
        <v>177</v>
      </c>
      <c r="Q17" s="6" t="s">
        <v>171</v>
      </c>
      <c r="R17" s="6" t="s">
        <v>64</v>
      </c>
      <c r="S17" s="6" t="s">
        <v>178</v>
      </c>
      <c r="T17" s="5"/>
      <c r="U17" s="5"/>
      <c r="V17" s="5"/>
      <c r="W17" s="6"/>
      <c r="X17" s="5"/>
      <c r="Y17" s="8">
        <f t="shared" si="1"/>
        <v>45901.32789</v>
      </c>
      <c r="Z17" s="5"/>
      <c r="AA17" s="6" t="s">
        <v>66</v>
      </c>
      <c r="AB17" s="6" t="s">
        <v>67</v>
      </c>
      <c r="AC17" s="5"/>
      <c r="AD17" s="5"/>
      <c r="AE17" s="5"/>
      <c r="AF17" s="5"/>
      <c r="AG17" s="5"/>
      <c r="AH17" s="5"/>
      <c r="AI17" s="5"/>
      <c r="AJ17" s="5"/>
      <c r="AK17" s="5"/>
      <c r="AL17" s="6" t="s">
        <v>63</v>
      </c>
      <c r="AM17" s="5"/>
      <c r="AN17" s="5"/>
      <c r="AO17" s="5"/>
      <c r="AP17" s="5"/>
      <c r="AQ17" s="5"/>
      <c r="AR17" s="5"/>
      <c r="AS17" s="5"/>
      <c r="AT17" s="5"/>
      <c r="AU17" s="5"/>
      <c r="AV17" s="5"/>
      <c r="AW17" s="5"/>
      <c r="AX17" s="5"/>
      <c r="AY17" s="6" t="s">
        <v>88</v>
      </c>
      <c r="AZ17" s="6" t="s">
        <v>88</v>
      </c>
      <c r="BA17" s="5"/>
      <c r="BB17" s="6" t="s">
        <v>69</v>
      </c>
      <c r="BC17" s="5"/>
      <c r="BD17" s="6" t="s">
        <v>69</v>
      </c>
      <c r="BE17" s="6">
        <v>1001.0</v>
      </c>
    </row>
    <row r="18">
      <c r="A18" s="6">
        <v>744.0</v>
      </c>
      <c r="B18" s="6" t="s">
        <v>179</v>
      </c>
      <c r="C18" s="6" t="s">
        <v>180</v>
      </c>
      <c r="D18" s="6" t="s">
        <v>181</v>
      </c>
      <c r="E18" s="6">
        <v>10.0</v>
      </c>
      <c r="F18" s="6" t="s">
        <v>182</v>
      </c>
      <c r="G18" s="6" t="s">
        <v>183</v>
      </c>
      <c r="H18" s="6" t="s">
        <v>184</v>
      </c>
      <c r="I18" s="7" t="s">
        <v>184</v>
      </c>
      <c r="J18" s="7" t="s">
        <v>184</v>
      </c>
      <c r="K18" s="6" t="s">
        <v>136</v>
      </c>
      <c r="L18" s="6" t="s">
        <v>61</v>
      </c>
      <c r="M18" s="6" t="s">
        <v>136</v>
      </c>
      <c r="N18" s="6" t="s">
        <v>61</v>
      </c>
      <c r="O18" s="6">
        <v>2000.0</v>
      </c>
      <c r="P18" s="6"/>
      <c r="Q18" s="6" t="s">
        <v>63</v>
      </c>
      <c r="R18" s="6" t="s">
        <v>64</v>
      </c>
      <c r="S18" s="6" t="s">
        <v>65</v>
      </c>
      <c r="T18" s="6"/>
      <c r="U18" s="5"/>
      <c r="V18" s="5"/>
      <c r="W18" s="6"/>
      <c r="X18" s="5"/>
      <c r="Y18" s="8">
        <f t="shared" si="1"/>
        <v>45901.32789</v>
      </c>
      <c r="Z18" s="5"/>
      <c r="AA18" s="6" t="s">
        <v>66</v>
      </c>
      <c r="AB18" s="6" t="s">
        <v>67</v>
      </c>
      <c r="AC18" s="5"/>
      <c r="AD18" s="5"/>
      <c r="AE18" s="5"/>
      <c r="AF18" s="5"/>
      <c r="AG18" s="5"/>
      <c r="AH18" s="5"/>
      <c r="AI18" s="5"/>
      <c r="AJ18" s="5"/>
      <c r="AK18" s="5"/>
      <c r="AL18" s="6" t="s">
        <v>63</v>
      </c>
      <c r="AM18" s="5"/>
      <c r="AN18" s="5"/>
      <c r="AO18" s="5"/>
      <c r="AP18" s="6" t="s">
        <v>185</v>
      </c>
      <c r="AQ18" s="5"/>
      <c r="AR18" s="5"/>
      <c r="AS18" s="5"/>
      <c r="AT18" s="5"/>
      <c r="AU18" s="5"/>
      <c r="AV18" s="5"/>
      <c r="AW18" s="5"/>
      <c r="AX18" s="5"/>
      <c r="AY18" s="6" t="s">
        <v>184</v>
      </c>
      <c r="AZ18" s="6" t="s">
        <v>184</v>
      </c>
      <c r="BA18" s="5"/>
      <c r="BB18" s="6" t="s">
        <v>69</v>
      </c>
      <c r="BC18" s="5"/>
      <c r="BD18" s="6" t="s">
        <v>69</v>
      </c>
      <c r="BE18" s="6">
        <v>1001.0</v>
      </c>
    </row>
    <row r="19">
      <c r="A19" s="6"/>
      <c r="B19" s="6" t="s">
        <v>186</v>
      </c>
      <c r="C19" s="6" t="s">
        <v>187</v>
      </c>
      <c r="D19" s="6" t="s">
        <v>188</v>
      </c>
      <c r="E19" s="5"/>
      <c r="F19" s="6" t="s">
        <v>189</v>
      </c>
      <c r="G19" s="6" t="s">
        <v>59</v>
      </c>
      <c r="H19" s="6" t="s">
        <v>72</v>
      </c>
      <c r="I19" s="7" t="s">
        <v>72</v>
      </c>
      <c r="J19" s="7" t="s">
        <v>72</v>
      </c>
      <c r="K19" s="6" t="s">
        <v>136</v>
      </c>
      <c r="L19" s="6" t="s">
        <v>72</v>
      </c>
      <c r="M19" s="6" t="s">
        <v>190</v>
      </c>
      <c r="N19" s="6" t="s">
        <v>72</v>
      </c>
      <c r="O19" s="6">
        <v>2010.0</v>
      </c>
      <c r="P19" s="6"/>
      <c r="Q19" s="6" t="s">
        <v>171</v>
      </c>
      <c r="R19" s="6" t="s">
        <v>64</v>
      </c>
      <c r="S19" s="6" t="s">
        <v>191</v>
      </c>
      <c r="T19" s="6"/>
      <c r="U19" s="5"/>
      <c r="V19" s="5"/>
      <c r="W19" s="5"/>
      <c r="X19" s="5"/>
      <c r="Y19" s="8">
        <f t="shared" si="1"/>
        <v>45901.32789</v>
      </c>
      <c r="Z19" s="5"/>
      <c r="AA19" s="6" t="s">
        <v>66</v>
      </c>
      <c r="AB19" s="6" t="s">
        <v>67</v>
      </c>
      <c r="AC19" s="5"/>
      <c r="AD19" s="5"/>
      <c r="AE19" s="5"/>
      <c r="AF19" s="5"/>
      <c r="AG19" s="5"/>
      <c r="AH19" s="5"/>
      <c r="AI19" s="5"/>
      <c r="AJ19" s="5"/>
      <c r="AK19" s="5"/>
      <c r="AL19" s="6" t="s">
        <v>63</v>
      </c>
      <c r="AM19" s="5"/>
      <c r="AN19" s="5"/>
      <c r="AO19" s="5"/>
      <c r="AP19" s="6" t="s">
        <v>59</v>
      </c>
      <c r="AQ19" s="5"/>
      <c r="AR19" s="5"/>
      <c r="AS19" s="5"/>
      <c r="AT19" s="5"/>
      <c r="AU19" s="5"/>
      <c r="AV19" s="5"/>
      <c r="AW19" s="5"/>
      <c r="AX19" s="5"/>
      <c r="AY19" s="6" t="s">
        <v>72</v>
      </c>
      <c r="AZ19" s="6" t="s">
        <v>72</v>
      </c>
      <c r="BA19" s="5"/>
      <c r="BB19" s="6" t="s">
        <v>69</v>
      </c>
      <c r="BC19" s="5"/>
      <c r="BD19" s="6" t="s">
        <v>69</v>
      </c>
      <c r="BE19" s="6">
        <v>1001.0</v>
      </c>
    </row>
    <row r="20">
      <c r="A20" s="6"/>
      <c r="B20" s="6" t="s">
        <v>192</v>
      </c>
      <c r="C20" s="6" t="s">
        <v>92</v>
      </c>
      <c r="D20" s="6" t="s">
        <v>193</v>
      </c>
      <c r="E20" s="5"/>
      <c r="F20" s="5"/>
      <c r="G20" s="5"/>
      <c r="H20" s="5"/>
      <c r="I20" s="7"/>
      <c r="J20" s="7"/>
      <c r="K20" s="6" t="s">
        <v>136</v>
      </c>
      <c r="L20" s="6" t="s">
        <v>72</v>
      </c>
      <c r="M20" s="5"/>
      <c r="N20" s="5"/>
      <c r="O20" s="5"/>
      <c r="P20" s="5"/>
      <c r="Q20" s="6" t="s">
        <v>63</v>
      </c>
      <c r="R20" s="5"/>
      <c r="S20" s="6" t="s">
        <v>191</v>
      </c>
      <c r="T20" s="5"/>
      <c r="U20" s="5"/>
      <c r="V20" s="5"/>
      <c r="W20" s="5"/>
      <c r="X20" s="5"/>
      <c r="Y20" s="8">
        <f t="shared" si="1"/>
        <v>45901.32789</v>
      </c>
      <c r="Z20" s="5"/>
      <c r="AA20" s="6" t="s">
        <v>66</v>
      </c>
      <c r="AB20" s="6" t="s">
        <v>67</v>
      </c>
      <c r="AC20" s="5"/>
      <c r="AD20" s="5"/>
      <c r="AE20" s="5"/>
      <c r="AF20" s="5"/>
      <c r="AG20" s="5"/>
      <c r="AH20" s="5"/>
      <c r="AI20" s="5"/>
      <c r="AJ20" s="5"/>
      <c r="AK20" s="5"/>
      <c r="AL20" s="6" t="s">
        <v>63</v>
      </c>
      <c r="AM20" s="5"/>
      <c r="AN20" s="5"/>
      <c r="AO20" s="5"/>
      <c r="AP20" s="5"/>
      <c r="AQ20" s="5"/>
      <c r="AR20" s="5"/>
      <c r="AS20" s="5"/>
      <c r="AT20" s="5"/>
      <c r="AU20" s="5"/>
      <c r="AV20" s="5"/>
      <c r="AW20" s="5"/>
      <c r="AX20" s="5"/>
      <c r="AY20" s="5"/>
      <c r="AZ20" s="5"/>
      <c r="BA20" s="5"/>
      <c r="BB20" s="6" t="s">
        <v>69</v>
      </c>
      <c r="BC20" s="5"/>
      <c r="BD20" s="6" t="s">
        <v>69</v>
      </c>
      <c r="BE20" s="6">
        <v>1001.0</v>
      </c>
    </row>
    <row r="21" ht="15.75" customHeight="1">
      <c r="A21" s="6"/>
      <c r="B21" s="6" t="s">
        <v>194</v>
      </c>
      <c r="C21" s="6" t="s">
        <v>195</v>
      </c>
      <c r="D21" s="6" t="s">
        <v>196</v>
      </c>
      <c r="E21" s="5"/>
      <c r="F21" s="6" t="s">
        <v>189</v>
      </c>
      <c r="G21" s="6" t="s">
        <v>59</v>
      </c>
      <c r="H21" s="6" t="s">
        <v>197</v>
      </c>
      <c r="I21" s="7" t="s">
        <v>198</v>
      </c>
      <c r="J21" s="7" t="s">
        <v>110</v>
      </c>
      <c r="K21" s="6" t="s">
        <v>136</v>
      </c>
      <c r="L21" s="6" t="s">
        <v>72</v>
      </c>
      <c r="M21" s="6" t="s">
        <v>199</v>
      </c>
      <c r="N21" s="6" t="s">
        <v>72</v>
      </c>
      <c r="O21" s="6"/>
      <c r="P21" s="6"/>
      <c r="Q21" s="6" t="s">
        <v>63</v>
      </c>
      <c r="R21" s="6" t="s">
        <v>82</v>
      </c>
      <c r="S21" s="6" t="s">
        <v>200</v>
      </c>
      <c r="T21" s="6"/>
      <c r="U21" s="5"/>
      <c r="V21" s="5"/>
      <c r="W21" s="6"/>
      <c r="X21" s="5"/>
      <c r="Y21" s="8">
        <f t="shared" si="1"/>
        <v>45901.32789</v>
      </c>
      <c r="Z21" s="5"/>
      <c r="AA21" s="6" t="s">
        <v>66</v>
      </c>
      <c r="AB21" s="6" t="s">
        <v>67</v>
      </c>
      <c r="AC21" s="5"/>
      <c r="AD21" s="5"/>
      <c r="AE21" s="5"/>
      <c r="AF21" s="5"/>
      <c r="AG21" s="5"/>
      <c r="AH21" s="5"/>
      <c r="AI21" s="5"/>
      <c r="AJ21" s="5"/>
      <c r="AK21" s="5"/>
      <c r="AL21" s="6" t="s">
        <v>63</v>
      </c>
      <c r="AM21" s="5"/>
      <c r="AN21" s="5"/>
      <c r="AO21" s="5"/>
      <c r="AP21" s="6" t="s">
        <v>59</v>
      </c>
      <c r="AQ21" s="5"/>
      <c r="AR21" s="5"/>
      <c r="AS21" s="5"/>
      <c r="AT21" s="5"/>
      <c r="AU21" s="5"/>
      <c r="AV21" s="5"/>
      <c r="AW21" s="5"/>
      <c r="AX21" s="5"/>
      <c r="AY21" s="6" t="s">
        <v>198</v>
      </c>
      <c r="AZ21" s="6" t="s">
        <v>110</v>
      </c>
      <c r="BA21" s="5"/>
      <c r="BB21" s="6" t="s">
        <v>69</v>
      </c>
      <c r="BC21" s="5"/>
      <c r="BD21" s="6" t="s">
        <v>69</v>
      </c>
      <c r="BE21" s="6">
        <v>1001.0</v>
      </c>
    </row>
    <row r="22" ht="15.75" customHeight="1">
      <c r="A22" s="6"/>
      <c r="B22" s="6" t="s">
        <v>201</v>
      </c>
      <c r="C22" s="6" t="s">
        <v>202</v>
      </c>
      <c r="D22" s="6" t="s">
        <v>203</v>
      </c>
      <c r="E22" s="5"/>
      <c r="F22" s="6" t="s">
        <v>189</v>
      </c>
      <c r="G22" s="6" t="s">
        <v>59</v>
      </c>
      <c r="H22" s="6" t="s">
        <v>59</v>
      </c>
      <c r="I22" s="7" t="s">
        <v>59</v>
      </c>
      <c r="J22" s="7" t="s">
        <v>59</v>
      </c>
      <c r="K22" s="6" t="s">
        <v>59</v>
      </c>
      <c r="L22" s="6" t="s">
        <v>72</v>
      </c>
      <c r="M22" s="6" t="s">
        <v>59</v>
      </c>
      <c r="N22" s="6" t="s">
        <v>72</v>
      </c>
      <c r="O22" s="6"/>
      <c r="P22" s="6"/>
      <c r="Q22" s="6" t="s">
        <v>63</v>
      </c>
      <c r="R22" s="6" t="s">
        <v>59</v>
      </c>
      <c r="S22" s="6" t="s">
        <v>204</v>
      </c>
      <c r="T22" s="6"/>
      <c r="U22" s="5"/>
      <c r="V22" s="5"/>
      <c r="W22" s="6"/>
      <c r="X22" s="5"/>
      <c r="Y22" s="8">
        <f t="shared" si="1"/>
        <v>45901.32789</v>
      </c>
      <c r="Z22" s="5"/>
      <c r="AA22" s="6" t="s">
        <v>66</v>
      </c>
      <c r="AB22" s="6" t="s">
        <v>67</v>
      </c>
      <c r="AC22" s="5"/>
      <c r="AD22" s="5"/>
      <c r="AE22" s="5"/>
      <c r="AF22" s="5"/>
      <c r="AG22" s="5"/>
      <c r="AH22" s="5"/>
      <c r="AI22" s="5"/>
      <c r="AJ22" s="5"/>
      <c r="AK22" s="5"/>
      <c r="AL22" s="6" t="s">
        <v>63</v>
      </c>
      <c r="AM22" s="5"/>
      <c r="AN22" s="5"/>
      <c r="AO22" s="5"/>
      <c r="AP22" s="6" t="s">
        <v>59</v>
      </c>
      <c r="AQ22" s="5"/>
      <c r="AR22" s="5"/>
      <c r="AS22" s="5"/>
      <c r="AT22" s="5"/>
      <c r="AU22" s="5"/>
      <c r="AV22" s="5"/>
      <c r="AW22" s="5"/>
      <c r="AX22" s="5"/>
      <c r="AY22" s="6" t="s">
        <v>59</v>
      </c>
      <c r="AZ22" s="6" t="s">
        <v>59</v>
      </c>
      <c r="BA22" s="5"/>
      <c r="BB22" s="6" t="s">
        <v>69</v>
      </c>
      <c r="BC22" s="5"/>
      <c r="BD22" s="6" t="s">
        <v>69</v>
      </c>
      <c r="BE22" s="6">
        <v>1001.0</v>
      </c>
    </row>
    <row r="23" ht="15.75" customHeight="1">
      <c r="A23" s="6"/>
      <c r="B23" s="6" t="s">
        <v>205</v>
      </c>
      <c r="C23" s="6" t="s">
        <v>206</v>
      </c>
      <c r="D23" s="6" t="s">
        <v>207</v>
      </c>
      <c r="E23" s="5"/>
      <c r="F23" s="6" t="s">
        <v>142</v>
      </c>
      <c r="G23" s="6" t="s">
        <v>142</v>
      </c>
      <c r="H23" s="6" t="s">
        <v>88</v>
      </c>
      <c r="I23" s="7" t="s">
        <v>208</v>
      </c>
      <c r="J23" s="7" t="s">
        <v>209</v>
      </c>
      <c r="K23" s="6" t="s">
        <v>209</v>
      </c>
      <c r="L23" s="6" t="s">
        <v>72</v>
      </c>
      <c r="M23" s="6" t="s">
        <v>72</v>
      </c>
      <c r="N23" s="6" t="s">
        <v>72</v>
      </c>
      <c r="O23" s="6">
        <v>2014.0</v>
      </c>
      <c r="P23" s="6" t="s">
        <v>210</v>
      </c>
      <c r="Q23" s="6" t="s">
        <v>171</v>
      </c>
      <c r="R23" s="6" t="s">
        <v>64</v>
      </c>
      <c r="S23" s="6" t="s">
        <v>211</v>
      </c>
      <c r="T23" s="6"/>
      <c r="U23" s="5"/>
      <c r="V23" s="5"/>
      <c r="W23" s="6"/>
      <c r="X23" s="5"/>
      <c r="Y23" s="8">
        <f t="shared" si="1"/>
        <v>45901.32789</v>
      </c>
      <c r="Z23" s="5"/>
      <c r="AA23" s="6" t="s">
        <v>66</v>
      </c>
      <c r="AB23" s="6" t="s">
        <v>67</v>
      </c>
      <c r="AC23" s="5"/>
      <c r="AD23" s="5"/>
      <c r="AE23" s="5"/>
      <c r="AF23" s="5"/>
      <c r="AG23" s="5"/>
      <c r="AH23" s="5"/>
      <c r="AI23" s="5"/>
      <c r="AJ23" s="5"/>
      <c r="AK23" s="5"/>
      <c r="AL23" s="6" t="s">
        <v>63</v>
      </c>
      <c r="AM23" s="5"/>
      <c r="AN23" s="5"/>
      <c r="AO23" s="5"/>
      <c r="AP23" s="6" t="s">
        <v>59</v>
      </c>
      <c r="AQ23" s="5"/>
      <c r="AR23" s="5"/>
      <c r="AS23" s="5"/>
      <c r="AT23" s="5"/>
      <c r="AU23" s="5"/>
      <c r="AV23" s="5"/>
      <c r="AW23" s="5"/>
      <c r="AX23" s="5"/>
      <c r="AY23" s="6" t="s">
        <v>208</v>
      </c>
      <c r="AZ23" s="6" t="s">
        <v>209</v>
      </c>
      <c r="BA23" s="5"/>
      <c r="BB23" s="6" t="s">
        <v>69</v>
      </c>
      <c r="BC23" s="5"/>
      <c r="BD23" s="6" t="s">
        <v>69</v>
      </c>
      <c r="BE23" s="6">
        <v>1001.0</v>
      </c>
    </row>
    <row r="24" ht="15.75" customHeight="1">
      <c r="A24" s="6"/>
      <c r="B24" s="6" t="s">
        <v>212</v>
      </c>
      <c r="C24" s="6" t="s">
        <v>213</v>
      </c>
      <c r="D24" s="6" t="s">
        <v>214</v>
      </c>
      <c r="E24" s="5"/>
      <c r="F24" s="5"/>
      <c r="G24" s="5"/>
      <c r="H24" s="5"/>
      <c r="I24" s="7"/>
      <c r="J24" s="7"/>
      <c r="K24" s="6" t="s">
        <v>136</v>
      </c>
      <c r="L24" s="6" t="s">
        <v>72</v>
      </c>
      <c r="M24" s="5"/>
      <c r="N24" s="5"/>
      <c r="O24" s="5"/>
      <c r="P24" s="12" t="s">
        <v>215</v>
      </c>
      <c r="Q24" s="6" t="s">
        <v>63</v>
      </c>
      <c r="R24" s="5"/>
      <c r="S24" s="5"/>
      <c r="T24" s="5"/>
      <c r="U24" s="5"/>
      <c r="V24" s="5"/>
      <c r="W24" s="5"/>
      <c r="X24" s="5"/>
      <c r="Y24" s="8">
        <f t="shared" si="1"/>
        <v>45901.32789</v>
      </c>
      <c r="Z24" s="5"/>
      <c r="AA24" s="6" t="s">
        <v>66</v>
      </c>
      <c r="AB24" s="6" t="s">
        <v>67</v>
      </c>
      <c r="AC24" s="5"/>
      <c r="AD24" s="5"/>
      <c r="AE24" s="5"/>
      <c r="AF24" s="5"/>
      <c r="AG24" s="5"/>
      <c r="AH24" s="5"/>
      <c r="AI24" s="5"/>
      <c r="AJ24" s="5"/>
      <c r="AK24" s="5"/>
      <c r="AL24" s="6" t="s">
        <v>63</v>
      </c>
      <c r="AM24" s="5"/>
      <c r="AN24" s="5"/>
      <c r="AO24" s="5"/>
      <c r="AP24" s="5"/>
      <c r="AQ24" s="5"/>
      <c r="AR24" s="5"/>
      <c r="AS24" s="5"/>
      <c r="AT24" s="5"/>
      <c r="AU24" s="5"/>
      <c r="AV24" s="5"/>
      <c r="AW24" s="5"/>
      <c r="AX24" s="5"/>
      <c r="AY24" s="5"/>
      <c r="AZ24" s="5"/>
      <c r="BA24" s="5"/>
      <c r="BB24" s="6" t="s">
        <v>69</v>
      </c>
      <c r="BC24" s="5"/>
      <c r="BD24" s="6" t="s">
        <v>69</v>
      </c>
      <c r="BE24" s="6">
        <v>1001.0</v>
      </c>
    </row>
    <row r="25" ht="15.75" customHeight="1">
      <c r="A25" s="6">
        <v>732.0</v>
      </c>
      <c r="B25" s="6" t="s">
        <v>216</v>
      </c>
      <c r="C25" s="6" t="s">
        <v>217</v>
      </c>
      <c r="D25" s="6" t="s">
        <v>218</v>
      </c>
      <c r="E25" s="5"/>
      <c r="F25" s="6" t="s">
        <v>189</v>
      </c>
      <c r="G25" s="6" t="s">
        <v>59</v>
      </c>
      <c r="H25" s="6" t="s">
        <v>59</v>
      </c>
      <c r="I25" s="7"/>
      <c r="J25" s="7"/>
      <c r="K25" s="6" t="s">
        <v>59</v>
      </c>
      <c r="L25" s="6" t="s">
        <v>72</v>
      </c>
      <c r="M25" s="5"/>
      <c r="N25" s="5"/>
      <c r="O25" s="5"/>
      <c r="P25" s="5"/>
      <c r="Q25" s="6" t="s">
        <v>63</v>
      </c>
      <c r="R25" s="5"/>
      <c r="S25" s="6" t="s">
        <v>219</v>
      </c>
      <c r="T25" s="5"/>
      <c r="U25" s="5"/>
      <c r="V25" s="5"/>
      <c r="W25" s="5"/>
      <c r="X25" s="5"/>
      <c r="Y25" s="8">
        <f t="shared" si="1"/>
        <v>45901.32789</v>
      </c>
      <c r="Z25" s="5"/>
      <c r="AA25" s="6" t="s">
        <v>66</v>
      </c>
      <c r="AB25" s="6" t="s">
        <v>67</v>
      </c>
      <c r="AC25" s="5"/>
      <c r="AD25" s="5"/>
      <c r="AE25" s="5"/>
      <c r="AF25" s="5"/>
      <c r="AG25" s="5"/>
      <c r="AH25" s="5"/>
      <c r="AI25" s="5"/>
      <c r="AJ25" s="5"/>
      <c r="AK25" s="5"/>
      <c r="AL25" s="6" t="s">
        <v>63</v>
      </c>
      <c r="AM25" s="5"/>
      <c r="AN25" s="5"/>
      <c r="AO25" s="5"/>
      <c r="AP25" s="5"/>
      <c r="AQ25" s="5"/>
      <c r="AR25" s="5"/>
      <c r="AS25" s="5"/>
      <c r="AT25" s="5"/>
      <c r="AU25" s="5"/>
      <c r="AV25" s="5"/>
      <c r="AW25" s="5"/>
      <c r="AX25" s="5"/>
      <c r="AY25" s="5"/>
      <c r="AZ25" s="5"/>
      <c r="BA25" s="5"/>
      <c r="BB25" s="6" t="s">
        <v>69</v>
      </c>
      <c r="BC25" s="5"/>
      <c r="BD25" s="6" t="s">
        <v>69</v>
      </c>
      <c r="BE25" s="6">
        <v>1001.0</v>
      </c>
    </row>
    <row r="26" ht="15.75" customHeight="1">
      <c r="A26" s="6">
        <v>20717.0</v>
      </c>
      <c r="B26" s="6" t="s">
        <v>220</v>
      </c>
      <c r="C26" s="6" t="s">
        <v>221</v>
      </c>
      <c r="D26" s="6" t="s">
        <v>222</v>
      </c>
      <c r="E26" s="6" t="s">
        <v>223</v>
      </c>
      <c r="F26" s="5"/>
      <c r="G26" s="5"/>
      <c r="H26" s="5"/>
      <c r="I26" s="7"/>
      <c r="J26" s="7"/>
      <c r="K26" s="6" t="s">
        <v>136</v>
      </c>
      <c r="L26" s="6" t="s">
        <v>72</v>
      </c>
      <c r="M26" s="5"/>
      <c r="N26" s="6" t="s">
        <v>72</v>
      </c>
      <c r="O26" s="5"/>
      <c r="P26" s="5"/>
      <c r="Q26" s="6" t="s">
        <v>63</v>
      </c>
      <c r="R26" s="5"/>
      <c r="S26" s="6" t="s">
        <v>224</v>
      </c>
      <c r="T26" s="5"/>
      <c r="U26" s="5"/>
      <c r="V26" s="5"/>
      <c r="W26" s="5"/>
      <c r="X26" s="5"/>
      <c r="Y26" s="8">
        <f t="shared" si="1"/>
        <v>45901.32789</v>
      </c>
      <c r="Z26" s="5"/>
      <c r="AA26" s="6" t="s">
        <v>66</v>
      </c>
      <c r="AB26" s="6" t="s">
        <v>67</v>
      </c>
      <c r="AC26" s="5"/>
      <c r="AD26" s="5"/>
      <c r="AE26" s="5"/>
      <c r="AF26" s="5"/>
      <c r="AG26" s="5"/>
      <c r="AH26" s="5"/>
      <c r="AI26" s="5"/>
      <c r="AJ26" s="5"/>
      <c r="AK26" s="5"/>
      <c r="AL26" s="6" t="s">
        <v>63</v>
      </c>
      <c r="AM26" s="5"/>
      <c r="AN26" s="5"/>
      <c r="AO26" s="5"/>
      <c r="AP26" s="5"/>
      <c r="AQ26" s="5"/>
      <c r="AR26" s="5"/>
      <c r="AS26" s="5"/>
      <c r="AT26" s="5"/>
      <c r="AU26" s="5"/>
      <c r="AV26" s="5"/>
      <c r="AW26" s="5"/>
      <c r="AX26" s="5"/>
      <c r="AY26" s="5"/>
      <c r="AZ26" s="5"/>
      <c r="BA26" s="5"/>
      <c r="BB26" s="6" t="s">
        <v>69</v>
      </c>
      <c r="BC26" s="5"/>
      <c r="BD26" s="6" t="s">
        <v>69</v>
      </c>
      <c r="BE26" s="6">
        <v>1001.0</v>
      </c>
    </row>
    <row r="27" ht="15.75" customHeight="1">
      <c r="A27" s="6">
        <v>764.0</v>
      </c>
      <c r="B27" s="6" t="s">
        <v>225</v>
      </c>
      <c r="C27" s="6" t="s">
        <v>226</v>
      </c>
      <c r="D27" s="5"/>
      <c r="E27" s="6">
        <v>10.0</v>
      </c>
      <c r="F27" s="5"/>
      <c r="G27" s="5"/>
      <c r="H27" s="5"/>
      <c r="I27" s="10"/>
      <c r="J27" s="10"/>
      <c r="K27" s="5"/>
      <c r="L27" s="6" t="s">
        <v>72</v>
      </c>
      <c r="M27" s="5"/>
      <c r="N27" s="6" t="s">
        <v>72</v>
      </c>
      <c r="O27" s="5"/>
      <c r="P27" s="5"/>
      <c r="Q27" s="6" t="s">
        <v>63</v>
      </c>
      <c r="R27" s="5"/>
      <c r="S27" s="6" t="s">
        <v>227</v>
      </c>
      <c r="T27" s="5"/>
      <c r="U27" s="5"/>
      <c r="V27" s="5"/>
      <c r="W27" s="5"/>
      <c r="X27" s="5"/>
      <c r="Y27" s="8">
        <f t="shared" si="1"/>
        <v>45901.32789</v>
      </c>
      <c r="Z27" s="5"/>
      <c r="AA27" s="6" t="s">
        <v>66</v>
      </c>
      <c r="AB27" s="6" t="s">
        <v>67</v>
      </c>
      <c r="AC27" s="5"/>
      <c r="AD27" s="5"/>
      <c r="AE27" s="5"/>
      <c r="AF27" s="5"/>
      <c r="AG27" s="5"/>
      <c r="AH27" s="5"/>
      <c r="AI27" s="5"/>
      <c r="AJ27" s="5"/>
      <c r="AK27" s="5"/>
      <c r="AL27" s="6" t="s">
        <v>63</v>
      </c>
      <c r="AM27" s="5"/>
      <c r="AN27" s="5"/>
      <c r="AO27" s="5"/>
      <c r="AP27" s="5"/>
      <c r="AQ27" s="5"/>
      <c r="AR27" s="5"/>
      <c r="AS27" s="5"/>
      <c r="AT27" s="5"/>
      <c r="AU27" s="5"/>
      <c r="AV27" s="5"/>
      <c r="AW27" s="5"/>
      <c r="AX27" s="5"/>
      <c r="AY27" s="5"/>
      <c r="AZ27" s="5"/>
      <c r="BA27" s="5"/>
      <c r="BB27" s="6" t="s">
        <v>69</v>
      </c>
      <c r="BC27" s="5"/>
      <c r="BD27" s="6" t="s">
        <v>69</v>
      </c>
      <c r="BE27" s="6">
        <v>1001.0</v>
      </c>
    </row>
    <row r="28" ht="15.75" customHeight="1">
      <c r="A28" s="5"/>
      <c r="B28" s="6" t="s">
        <v>228</v>
      </c>
      <c r="C28" s="6" t="s">
        <v>229</v>
      </c>
      <c r="D28" s="6" t="s">
        <v>230</v>
      </c>
      <c r="E28" s="6">
        <v>10.0</v>
      </c>
      <c r="F28" s="5"/>
      <c r="G28" s="5"/>
      <c r="H28" s="6" t="s">
        <v>231</v>
      </c>
      <c r="I28" s="10"/>
      <c r="J28" s="13" t="s">
        <v>232</v>
      </c>
      <c r="K28" s="5"/>
      <c r="L28" s="6" t="s">
        <v>72</v>
      </c>
      <c r="M28" s="6" t="s">
        <v>233</v>
      </c>
      <c r="N28" s="6" t="s">
        <v>72</v>
      </c>
      <c r="O28" s="5"/>
      <c r="P28" s="5"/>
      <c r="Q28" s="6" t="s">
        <v>63</v>
      </c>
      <c r="R28" s="5"/>
      <c r="S28" s="6" t="s">
        <v>234</v>
      </c>
      <c r="T28" s="6">
        <f>93784477446</f>
        <v>93784477446</v>
      </c>
      <c r="U28" s="5"/>
      <c r="V28" s="5"/>
      <c r="W28" s="5"/>
      <c r="X28" s="5"/>
      <c r="Y28" s="8">
        <f t="shared" si="1"/>
        <v>45901.32789</v>
      </c>
      <c r="Z28" s="5"/>
      <c r="AA28" s="6" t="s">
        <v>66</v>
      </c>
      <c r="AB28" s="6" t="s">
        <v>67</v>
      </c>
      <c r="AC28" s="5"/>
      <c r="AD28" s="5"/>
      <c r="AE28" s="5"/>
      <c r="AF28" s="5"/>
      <c r="AG28" s="5"/>
      <c r="AH28" s="5"/>
      <c r="AI28" s="5"/>
      <c r="AJ28" s="5"/>
      <c r="AK28" s="5"/>
      <c r="AL28" s="6" t="s">
        <v>63</v>
      </c>
      <c r="AM28" s="5"/>
      <c r="AN28" s="5"/>
      <c r="AO28" s="5"/>
      <c r="AP28" s="5"/>
      <c r="AQ28" s="5"/>
      <c r="AR28" s="5"/>
      <c r="AS28" s="5"/>
      <c r="AT28" s="5"/>
      <c r="AU28" s="5"/>
      <c r="AV28" s="5"/>
      <c r="AW28" s="5"/>
      <c r="AX28" s="5"/>
      <c r="AY28" s="5"/>
      <c r="AZ28" s="5"/>
      <c r="BA28" s="5"/>
      <c r="BB28" s="6" t="s">
        <v>69</v>
      </c>
      <c r="BC28" s="5"/>
      <c r="BD28" s="6" t="s">
        <v>69</v>
      </c>
      <c r="BE28" s="6">
        <v>1001.0</v>
      </c>
    </row>
    <row r="29" ht="15.75" customHeight="1">
      <c r="A29" s="5"/>
      <c r="B29" s="6" t="s">
        <v>235</v>
      </c>
      <c r="C29" s="6" t="s">
        <v>236</v>
      </c>
      <c r="D29" s="6" t="s">
        <v>237</v>
      </c>
      <c r="E29" s="6">
        <v>10.0</v>
      </c>
      <c r="F29" s="6" t="s">
        <v>238</v>
      </c>
      <c r="G29" s="6" t="s">
        <v>238</v>
      </c>
      <c r="H29" s="5"/>
      <c r="I29" s="10"/>
      <c r="J29" s="10"/>
      <c r="K29" s="6" t="s">
        <v>239</v>
      </c>
      <c r="L29" s="6" t="s">
        <v>72</v>
      </c>
      <c r="M29" s="5"/>
      <c r="N29" s="5"/>
      <c r="O29" s="5"/>
      <c r="P29" s="5"/>
      <c r="Q29" s="6" t="s">
        <v>63</v>
      </c>
      <c r="R29" s="5"/>
      <c r="S29" s="6" t="s">
        <v>240</v>
      </c>
      <c r="T29" s="5"/>
      <c r="U29" s="5"/>
      <c r="V29" s="5"/>
      <c r="W29" s="5"/>
      <c r="X29" s="5"/>
      <c r="Y29" s="8">
        <f t="shared" si="1"/>
        <v>45901.32789</v>
      </c>
      <c r="Z29" s="5"/>
      <c r="AA29" s="6" t="s">
        <v>66</v>
      </c>
      <c r="AB29" s="6" t="s">
        <v>67</v>
      </c>
      <c r="AC29" s="5"/>
      <c r="AD29" s="5"/>
      <c r="AE29" s="5"/>
      <c r="AF29" s="5"/>
      <c r="AG29" s="5"/>
      <c r="AH29" s="5"/>
      <c r="AI29" s="5"/>
      <c r="AJ29" s="5"/>
      <c r="AK29" s="5"/>
      <c r="AL29" s="6" t="s">
        <v>63</v>
      </c>
      <c r="AM29" s="5"/>
      <c r="AN29" s="5"/>
      <c r="AO29" s="5"/>
      <c r="AP29" s="5"/>
      <c r="AQ29" s="5"/>
      <c r="AR29" s="5"/>
      <c r="AS29" s="5"/>
      <c r="AT29" s="5"/>
      <c r="AU29" s="5"/>
      <c r="AV29" s="5"/>
      <c r="AW29" s="5"/>
      <c r="AX29" s="5"/>
      <c r="AY29" s="5"/>
      <c r="AZ29" s="5"/>
      <c r="BA29" s="5"/>
      <c r="BB29" s="6" t="s">
        <v>69</v>
      </c>
      <c r="BC29" s="5"/>
      <c r="BD29" s="6" t="s">
        <v>69</v>
      </c>
      <c r="BE29" s="6">
        <v>1001.0</v>
      </c>
    </row>
    <row r="30" ht="15.75" customHeight="1">
      <c r="A30" s="6">
        <v>739.0</v>
      </c>
      <c r="B30" s="6" t="s">
        <v>241</v>
      </c>
      <c r="C30" s="6" t="s">
        <v>202</v>
      </c>
      <c r="D30" s="5"/>
      <c r="E30" s="6">
        <v>10.0</v>
      </c>
      <c r="F30" s="5"/>
      <c r="G30" s="5"/>
      <c r="H30" s="5"/>
      <c r="I30" s="10"/>
      <c r="J30" s="10"/>
      <c r="K30" s="5"/>
      <c r="L30" s="6" t="s">
        <v>72</v>
      </c>
      <c r="M30" s="5"/>
      <c r="N30" s="5"/>
      <c r="O30" s="5"/>
      <c r="P30" s="5"/>
      <c r="Q30" s="6" t="s">
        <v>63</v>
      </c>
      <c r="R30" s="5"/>
      <c r="S30" s="6" t="s">
        <v>242</v>
      </c>
      <c r="T30" s="5"/>
      <c r="U30" s="5"/>
      <c r="V30" s="5"/>
      <c r="W30" s="5"/>
      <c r="X30" s="5"/>
      <c r="Y30" s="8">
        <f t="shared" si="1"/>
        <v>45901.32789</v>
      </c>
      <c r="Z30" s="5"/>
      <c r="AA30" s="6" t="s">
        <v>66</v>
      </c>
      <c r="AB30" s="6" t="s">
        <v>67</v>
      </c>
      <c r="AC30" s="5"/>
      <c r="AD30" s="5"/>
      <c r="AE30" s="5"/>
      <c r="AF30" s="5"/>
      <c r="AG30" s="5"/>
      <c r="AH30" s="5"/>
      <c r="AI30" s="5"/>
      <c r="AJ30" s="5"/>
      <c r="AK30" s="5"/>
      <c r="AL30" s="6" t="s">
        <v>63</v>
      </c>
      <c r="AM30" s="5"/>
      <c r="AN30" s="5"/>
      <c r="AO30" s="5"/>
      <c r="AP30" s="5"/>
      <c r="AQ30" s="5"/>
      <c r="AR30" s="5"/>
      <c r="AS30" s="5"/>
      <c r="AT30" s="5"/>
      <c r="AU30" s="5"/>
      <c r="AV30" s="5"/>
      <c r="AW30" s="5"/>
      <c r="AX30" s="5"/>
      <c r="AY30" s="5"/>
      <c r="AZ30" s="5"/>
      <c r="BA30" s="5"/>
      <c r="BB30" s="6" t="s">
        <v>69</v>
      </c>
      <c r="BC30" s="5"/>
      <c r="BD30" s="6" t="s">
        <v>69</v>
      </c>
      <c r="BE30" s="6">
        <v>1001.0</v>
      </c>
    </row>
    <row r="31" ht="15.75" customHeight="1">
      <c r="A31" s="5"/>
      <c r="B31" s="6" t="s">
        <v>243</v>
      </c>
      <c r="C31" s="6" t="s">
        <v>244</v>
      </c>
      <c r="D31" s="6" t="s">
        <v>245</v>
      </c>
      <c r="E31" s="6">
        <v>10.0</v>
      </c>
      <c r="F31" s="5"/>
      <c r="G31" s="5"/>
      <c r="H31" s="5"/>
      <c r="I31" s="10"/>
      <c r="J31" s="13" t="s">
        <v>72</v>
      </c>
      <c r="K31" s="6" t="s">
        <v>246</v>
      </c>
      <c r="L31" s="6" t="s">
        <v>72</v>
      </c>
      <c r="M31" s="5"/>
      <c r="N31" s="5"/>
      <c r="O31" s="5"/>
      <c r="P31" s="5"/>
      <c r="Q31" s="6" t="s">
        <v>63</v>
      </c>
      <c r="R31" s="5"/>
      <c r="S31" s="6" t="s">
        <v>247</v>
      </c>
      <c r="T31" s="5"/>
      <c r="U31" s="5"/>
      <c r="V31" s="5"/>
      <c r="W31" s="5"/>
      <c r="X31" s="5"/>
      <c r="Y31" s="8">
        <f t="shared" si="1"/>
        <v>45901.32789</v>
      </c>
      <c r="Z31" s="5"/>
      <c r="AA31" s="6" t="s">
        <v>66</v>
      </c>
      <c r="AB31" s="6" t="s">
        <v>67</v>
      </c>
      <c r="AC31" s="5"/>
      <c r="AD31" s="5"/>
      <c r="AE31" s="5"/>
      <c r="AF31" s="5"/>
      <c r="AG31" s="5"/>
      <c r="AH31" s="5"/>
      <c r="AI31" s="5"/>
      <c r="AJ31" s="5"/>
      <c r="AK31" s="5"/>
      <c r="AL31" s="6" t="s">
        <v>63</v>
      </c>
      <c r="AM31" s="5"/>
      <c r="AN31" s="5"/>
      <c r="AO31" s="5"/>
      <c r="AP31" s="5"/>
      <c r="AQ31" s="5"/>
      <c r="AR31" s="5"/>
      <c r="AS31" s="5"/>
      <c r="AT31" s="5"/>
      <c r="AU31" s="5"/>
      <c r="AV31" s="5"/>
      <c r="AW31" s="5"/>
      <c r="AX31" s="5"/>
      <c r="AY31" s="5"/>
      <c r="AZ31" s="5"/>
      <c r="BA31" s="5"/>
      <c r="BB31" s="6" t="s">
        <v>69</v>
      </c>
      <c r="BC31" s="5"/>
      <c r="BD31" s="6" t="s">
        <v>69</v>
      </c>
      <c r="BE31" s="6">
        <v>1001.0</v>
      </c>
    </row>
    <row r="32" ht="15.75" customHeight="1">
      <c r="A32" s="5"/>
      <c r="B32" s="6" t="s">
        <v>248</v>
      </c>
      <c r="C32" s="6" t="s">
        <v>249</v>
      </c>
      <c r="D32" s="6" t="s">
        <v>245</v>
      </c>
      <c r="E32" s="6">
        <v>10.0</v>
      </c>
      <c r="F32" s="5"/>
      <c r="G32" s="5"/>
      <c r="H32" s="5"/>
      <c r="I32" s="10"/>
      <c r="J32" s="10"/>
      <c r="K32" s="6" t="s">
        <v>246</v>
      </c>
      <c r="L32" s="6" t="s">
        <v>72</v>
      </c>
      <c r="M32" s="5"/>
      <c r="N32" s="6" t="s">
        <v>72</v>
      </c>
      <c r="O32" s="5"/>
      <c r="P32" s="5"/>
      <c r="Q32" s="6" t="s">
        <v>63</v>
      </c>
      <c r="R32" s="5"/>
      <c r="S32" s="6" t="s">
        <v>247</v>
      </c>
      <c r="T32" s="5"/>
      <c r="U32" s="5"/>
      <c r="V32" s="5"/>
      <c r="W32" s="5"/>
      <c r="X32" s="5"/>
      <c r="Y32" s="8">
        <f t="shared" si="1"/>
        <v>45901.32789</v>
      </c>
      <c r="Z32" s="5"/>
      <c r="AA32" s="6" t="s">
        <v>66</v>
      </c>
      <c r="AB32" s="6" t="s">
        <v>67</v>
      </c>
      <c r="AC32" s="5"/>
      <c r="AD32" s="5"/>
      <c r="AE32" s="5"/>
      <c r="AF32" s="5"/>
      <c r="AG32" s="5"/>
      <c r="AH32" s="5"/>
      <c r="AI32" s="5"/>
      <c r="AJ32" s="5"/>
      <c r="AK32" s="5"/>
      <c r="AL32" s="6" t="s">
        <v>63</v>
      </c>
      <c r="AM32" s="5"/>
      <c r="AN32" s="5"/>
      <c r="AO32" s="5"/>
      <c r="AP32" s="5"/>
      <c r="AQ32" s="5"/>
      <c r="AR32" s="5"/>
      <c r="AS32" s="5"/>
      <c r="AT32" s="5"/>
      <c r="AU32" s="5"/>
      <c r="AV32" s="5"/>
      <c r="AW32" s="5"/>
      <c r="AX32" s="5"/>
      <c r="AY32" s="5"/>
      <c r="AZ32" s="5"/>
      <c r="BA32" s="5"/>
      <c r="BB32" s="6" t="s">
        <v>69</v>
      </c>
      <c r="BC32" s="5"/>
      <c r="BD32" s="6" t="s">
        <v>69</v>
      </c>
      <c r="BE32" s="6">
        <v>1001.0</v>
      </c>
    </row>
    <row r="33" ht="15.75" customHeight="1">
      <c r="A33" s="5"/>
      <c r="B33" s="6" t="s">
        <v>250</v>
      </c>
      <c r="C33" s="6" t="s">
        <v>251</v>
      </c>
      <c r="D33" s="6" t="s">
        <v>252</v>
      </c>
      <c r="E33" s="6">
        <v>10.0</v>
      </c>
      <c r="F33" s="5"/>
      <c r="G33" s="5"/>
      <c r="H33" s="5"/>
      <c r="I33" s="10"/>
      <c r="J33" s="10"/>
      <c r="K33" s="6" t="s">
        <v>246</v>
      </c>
      <c r="L33" s="6" t="s">
        <v>72</v>
      </c>
      <c r="M33" s="5"/>
      <c r="N33" s="6" t="s">
        <v>72</v>
      </c>
      <c r="O33" s="5"/>
      <c r="P33" s="5"/>
      <c r="Q33" s="6" t="s">
        <v>63</v>
      </c>
      <c r="R33" s="5"/>
      <c r="S33" s="6" t="s">
        <v>253</v>
      </c>
      <c r="T33" s="5"/>
      <c r="U33" s="5"/>
      <c r="V33" s="5"/>
      <c r="W33" s="5"/>
      <c r="X33" s="5"/>
      <c r="Y33" s="8">
        <f t="shared" si="1"/>
        <v>45901.32789</v>
      </c>
      <c r="Z33" s="5"/>
      <c r="AA33" s="6" t="s">
        <v>66</v>
      </c>
      <c r="AB33" s="6" t="s">
        <v>67</v>
      </c>
      <c r="AC33" s="5"/>
      <c r="AD33" s="5"/>
      <c r="AE33" s="5"/>
      <c r="AF33" s="5"/>
      <c r="AG33" s="5"/>
      <c r="AH33" s="5"/>
      <c r="AI33" s="5"/>
      <c r="AJ33" s="5"/>
      <c r="AK33" s="5"/>
      <c r="AL33" s="6" t="s">
        <v>63</v>
      </c>
      <c r="AM33" s="5"/>
      <c r="AN33" s="5"/>
      <c r="AO33" s="5"/>
      <c r="AP33" s="5"/>
      <c r="AQ33" s="5"/>
      <c r="AR33" s="5"/>
      <c r="AS33" s="5"/>
      <c r="AT33" s="5"/>
      <c r="AU33" s="5"/>
      <c r="AV33" s="5"/>
      <c r="AW33" s="5"/>
      <c r="AX33" s="5"/>
      <c r="AY33" s="5"/>
      <c r="AZ33" s="5"/>
      <c r="BA33" s="5"/>
      <c r="BB33" s="6" t="s">
        <v>69</v>
      </c>
      <c r="BC33" s="5"/>
      <c r="BD33" s="6" t="s">
        <v>69</v>
      </c>
      <c r="BE33" s="6">
        <v>1001.0</v>
      </c>
    </row>
    <row r="34" ht="15.75" customHeight="1">
      <c r="A34" s="6">
        <v>579.0</v>
      </c>
      <c r="B34" s="6" t="s">
        <v>254</v>
      </c>
      <c r="C34" s="6" t="s">
        <v>108</v>
      </c>
      <c r="D34" s="6" t="s">
        <v>255</v>
      </c>
      <c r="E34" s="6">
        <v>10.0</v>
      </c>
      <c r="F34" s="5"/>
      <c r="G34" s="5"/>
      <c r="H34" s="5"/>
      <c r="I34" s="10"/>
      <c r="J34" s="10"/>
      <c r="K34" s="5"/>
      <c r="L34" s="5"/>
      <c r="M34" s="5"/>
      <c r="N34" s="5"/>
      <c r="O34" s="5"/>
      <c r="P34" s="5"/>
      <c r="Q34" s="6" t="s">
        <v>63</v>
      </c>
      <c r="R34" s="5"/>
      <c r="S34" s="6" t="s">
        <v>256</v>
      </c>
      <c r="T34" s="5"/>
      <c r="U34" s="5"/>
      <c r="V34" s="5"/>
      <c r="W34" s="5"/>
      <c r="X34" s="5"/>
      <c r="Y34" s="8">
        <f t="shared" si="1"/>
        <v>45901.32789</v>
      </c>
      <c r="Z34" s="5"/>
      <c r="AA34" s="6" t="s">
        <v>66</v>
      </c>
      <c r="AB34" s="6" t="s">
        <v>67</v>
      </c>
      <c r="AC34" s="5"/>
      <c r="AD34" s="5"/>
      <c r="AE34" s="5"/>
      <c r="AF34" s="5"/>
      <c r="AG34" s="5"/>
      <c r="AH34" s="5"/>
      <c r="AI34" s="5"/>
      <c r="AJ34" s="5"/>
      <c r="AK34" s="5"/>
      <c r="AL34" s="6" t="s">
        <v>63</v>
      </c>
      <c r="AM34" s="5"/>
      <c r="AN34" s="5"/>
      <c r="AO34" s="5"/>
      <c r="AP34" s="5"/>
      <c r="AQ34" s="5"/>
      <c r="AR34" s="5"/>
      <c r="AS34" s="5"/>
      <c r="AT34" s="5"/>
      <c r="AU34" s="5"/>
      <c r="AV34" s="5"/>
      <c r="AW34" s="5"/>
      <c r="AX34" s="5"/>
      <c r="AY34" s="5"/>
      <c r="AZ34" s="5"/>
      <c r="BA34" s="5"/>
      <c r="BB34" s="6" t="s">
        <v>69</v>
      </c>
      <c r="BC34" s="5"/>
      <c r="BD34" s="6" t="s">
        <v>69</v>
      </c>
      <c r="BE34" s="6">
        <v>1001.0</v>
      </c>
    </row>
    <row r="35" ht="15.75" customHeight="1">
      <c r="A35" s="5"/>
      <c r="B35" s="6" t="s">
        <v>257</v>
      </c>
      <c r="C35" s="6" t="s">
        <v>258</v>
      </c>
      <c r="D35" s="6" t="s">
        <v>259</v>
      </c>
      <c r="E35" s="6">
        <v>10.0</v>
      </c>
      <c r="F35" s="5"/>
      <c r="G35" s="5"/>
      <c r="H35" s="5"/>
      <c r="I35" s="10"/>
      <c r="J35" s="10"/>
      <c r="K35" s="6" t="s">
        <v>246</v>
      </c>
      <c r="L35" s="6" t="s">
        <v>72</v>
      </c>
      <c r="M35" s="5"/>
      <c r="N35" s="6" t="s">
        <v>72</v>
      </c>
      <c r="O35" s="5"/>
      <c r="P35" s="5"/>
      <c r="Q35" s="6" t="s">
        <v>63</v>
      </c>
      <c r="R35" s="5"/>
      <c r="S35" s="6" t="s">
        <v>260</v>
      </c>
      <c r="T35" s="5"/>
      <c r="U35" s="5"/>
      <c r="V35" s="5"/>
      <c r="W35" s="5"/>
      <c r="X35" s="5"/>
      <c r="Y35" s="8">
        <f t="shared" si="1"/>
        <v>45901.32789</v>
      </c>
      <c r="Z35" s="5"/>
      <c r="AA35" s="6" t="s">
        <v>66</v>
      </c>
      <c r="AB35" s="6" t="s">
        <v>67</v>
      </c>
      <c r="AC35" s="5"/>
      <c r="AD35" s="5"/>
      <c r="AE35" s="5"/>
      <c r="AF35" s="5"/>
      <c r="AG35" s="5"/>
      <c r="AH35" s="5"/>
      <c r="AI35" s="5"/>
      <c r="AJ35" s="5"/>
      <c r="AK35" s="5"/>
      <c r="AL35" s="6" t="s">
        <v>63</v>
      </c>
      <c r="AM35" s="5"/>
      <c r="AN35" s="5"/>
      <c r="AO35" s="5"/>
      <c r="AP35" s="5"/>
      <c r="AQ35" s="5"/>
      <c r="AR35" s="5"/>
      <c r="AS35" s="5"/>
      <c r="AT35" s="5"/>
      <c r="AU35" s="5"/>
      <c r="AV35" s="5"/>
      <c r="AW35" s="5"/>
      <c r="AX35" s="5"/>
      <c r="AY35" s="5"/>
      <c r="AZ35" s="5"/>
      <c r="BA35" s="5"/>
      <c r="BB35" s="6" t="s">
        <v>69</v>
      </c>
      <c r="BC35" s="5"/>
      <c r="BD35" s="6" t="s">
        <v>69</v>
      </c>
      <c r="BE35" s="6">
        <v>1001.0</v>
      </c>
    </row>
    <row r="36" ht="15.75" customHeight="1">
      <c r="A36" s="5"/>
      <c r="B36" s="6" t="s">
        <v>261</v>
      </c>
      <c r="C36" s="6" t="s">
        <v>262</v>
      </c>
      <c r="D36" s="6" t="s">
        <v>263</v>
      </c>
      <c r="E36" s="6">
        <v>10.0</v>
      </c>
      <c r="F36" s="5"/>
      <c r="G36" s="5"/>
      <c r="H36" s="5"/>
      <c r="I36" s="10"/>
      <c r="J36" s="10"/>
      <c r="K36" s="6" t="s">
        <v>246</v>
      </c>
      <c r="L36" s="6" t="s">
        <v>72</v>
      </c>
      <c r="M36" s="5"/>
      <c r="N36" s="6" t="s">
        <v>72</v>
      </c>
      <c r="O36" s="5"/>
      <c r="P36" s="5"/>
      <c r="Q36" s="6" t="s">
        <v>63</v>
      </c>
      <c r="R36" s="5"/>
      <c r="S36" s="6" t="s">
        <v>264</v>
      </c>
      <c r="T36" s="5"/>
      <c r="U36" s="5"/>
      <c r="V36" s="5"/>
      <c r="W36" s="5"/>
      <c r="X36" s="5"/>
      <c r="Y36" s="8">
        <f t="shared" si="1"/>
        <v>45901.32789</v>
      </c>
      <c r="Z36" s="5"/>
      <c r="AA36" s="6" t="s">
        <v>66</v>
      </c>
      <c r="AB36" s="6" t="s">
        <v>67</v>
      </c>
      <c r="AC36" s="5"/>
      <c r="AD36" s="5"/>
      <c r="AE36" s="5"/>
      <c r="AF36" s="5"/>
      <c r="AG36" s="5"/>
      <c r="AH36" s="5"/>
      <c r="AI36" s="5"/>
      <c r="AJ36" s="5"/>
      <c r="AK36" s="5"/>
      <c r="AL36" s="6" t="s">
        <v>63</v>
      </c>
      <c r="AM36" s="5"/>
      <c r="AN36" s="5"/>
      <c r="AO36" s="5"/>
      <c r="AP36" s="5"/>
      <c r="AQ36" s="5"/>
      <c r="AR36" s="5"/>
      <c r="AS36" s="5"/>
      <c r="AT36" s="5"/>
      <c r="AU36" s="5"/>
      <c r="AV36" s="5"/>
      <c r="AW36" s="5"/>
      <c r="AX36" s="5"/>
      <c r="AY36" s="5"/>
      <c r="AZ36" s="5"/>
      <c r="BA36" s="5"/>
      <c r="BB36" s="6" t="s">
        <v>69</v>
      </c>
      <c r="BC36" s="5"/>
      <c r="BD36" s="6" t="s">
        <v>69</v>
      </c>
      <c r="BE36" s="6">
        <v>1001.0</v>
      </c>
    </row>
    <row r="37" ht="15.75" customHeight="1">
      <c r="A37" s="6">
        <v>2118.0</v>
      </c>
      <c r="B37" s="6" t="s">
        <v>265</v>
      </c>
      <c r="C37" s="6" t="s">
        <v>266</v>
      </c>
      <c r="D37" s="5"/>
      <c r="E37" s="6">
        <v>9.0</v>
      </c>
      <c r="F37" s="5"/>
      <c r="G37" s="5"/>
      <c r="H37" s="5"/>
      <c r="I37" s="10"/>
      <c r="J37" s="10"/>
      <c r="K37" s="5"/>
      <c r="L37" s="5"/>
      <c r="M37" s="5"/>
      <c r="N37" s="5"/>
      <c r="O37" s="5"/>
      <c r="P37" s="5"/>
      <c r="Q37" s="6" t="s">
        <v>63</v>
      </c>
      <c r="R37" s="5"/>
      <c r="S37" s="6" t="s">
        <v>267</v>
      </c>
      <c r="T37" s="5"/>
      <c r="U37" s="5"/>
      <c r="V37" s="5"/>
      <c r="W37" s="5"/>
      <c r="X37" s="5"/>
      <c r="Y37" s="8">
        <f t="shared" si="1"/>
        <v>45901.32789</v>
      </c>
      <c r="Z37" s="5"/>
      <c r="AA37" s="6" t="s">
        <v>66</v>
      </c>
      <c r="AB37" s="6" t="s">
        <v>67</v>
      </c>
      <c r="AC37" s="5"/>
      <c r="AD37" s="5"/>
      <c r="AE37" s="5"/>
      <c r="AF37" s="5"/>
      <c r="AG37" s="5"/>
      <c r="AH37" s="5"/>
      <c r="AI37" s="5"/>
      <c r="AJ37" s="5"/>
      <c r="AK37" s="5"/>
      <c r="AL37" s="6" t="s">
        <v>63</v>
      </c>
      <c r="AM37" s="5"/>
      <c r="AN37" s="5"/>
      <c r="AO37" s="5"/>
      <c r="AP37" s="5"/>
      <c r="AQ37" s="5"/>
      <c r="AR37" s="5"/>
      <c r="AS37" s="5"/>
      <c r="AT37" s="5"/>
      <c r="AU37" s="5"/>
      <c r="AV37" s="5"/>
      <c r="AW37" s="5"/>
      <c r="AX37" s="5"/>
      <c r="AY37" s="5"/>
      <c r="AZ37" s="5"/>
      <c r="BA37" s="5"/>
      <c r="BB37" s="6" t="s">
        <v>69</v>
      </c>
      <c r="BC37" s="5"/>
      <c r="BD37" s="6" t="s">
        <v>69</v>
      </c>
      <c r="BE37" s="6">
        <v>1001.0</v>
      </c>
    </row>
    <row r="38" ht="15.75" customHeight="1">
      <c r="A38" s="6">
        <v>715.0</v>
      </c>
      <c r="B38" s="6" t="s">
        <v>268</v>
      </c>
      <c r="C38" s="6" t="s">
        <v>269</v>
      </c>
      <c r="D38" s="5"/>
      <c r="E38" s="6">
        <v>10.0</v>
      </c>
      <c r="F38" s="6" t="s">
        <v>270</v>
      </c>
      <c r="G38" s="6" t="s">
        <v>270</v>
      </c>
      <c r="H38" s="5"/>
      <c r="I38" s="10"/>
      <c r="J38" s="10"/>
      <c r="K38" s="6" t="s">
        <v>246</v>
      </c>
      <c r="L38" s="6" t="s">
        <v>72</v>
      </c>
      <c r="M38" s="5"/>
      <c r="N38" s="6" t="s">
        <v>72</v>
      </c>
      <c r="O38" s="5"/>
      <c r="P38" s="5"/>
      <c r="Q38" s="6" t="s">
        <v>63</v>
      </c>
      <c r="R38" s="5"/>
      <c r="S38" s="6" t="s">
        <v>271</v>
      </c>
      <c r="T38" s="5"/>
      <c r="U38" s="5"/>
      <c r="V38" s="5"/>
      <c r="W38" s="5"/>
      <c r="X38" s="5"/>
      <c r="Y38" s="8">
        <f t="shared" si="1"/>
        <v>45901.32789</v>
      </c>
      <c r="Z38" s="5"/>
      <c r="AA38" s="6" t="s">
        <v>66</v>
      </c>
      <c r="AB38" s="6" t="s">
        <v>67</v>
      </c>
      <c r="AC38" s="5"/>
      <c r="AD38" s="5"/>
      <c r="AE38" s="5"/>
      <c r="AF38" s="5"/>
      <c r="AG38" s="5"/>
      <c r="AH38" s="5"/>
      <c r="AI38" s="5"/>
      <c r="AJ38" s="5"/>
      <c r="AK38" s="5"/>
      <c r="AL38" s="6" t="s">
        <v>63</v>
      </c>
      <c r="AM38" s="5"/>
      <c r="AN38" s="5"/>
      <c r="AO38" s="5"/>
      <c r="AP38" s="5"/>
      <c r="AQ38" s="5"/>
      <c r="AR38" s="5"/>
      <c r="AS38" s="5"/>
      <c r="AT38" s="5"/>
      <c r="AU38" s="5"/>
      <c r="AV38" s="5"/>
      <c r="AW38" s="5"/>
      <c r="AX38" s="5"/>
      <c r="AY38" s="5"/>
      <c r="AZ38" s="5"/>
      <c r="BA38" s="5"/>
      <c r="BB38" s="6" t="s">
        <v>69</v>
      </c>
      <c r="BC38" s="5"/>
      <c r="BD38" s="6" t="s">
        <v>69</v>
      </c>
      <c r="BE38" s="6">
        <v>1001.0</v>
      </c>
    </row>
    <row r="39" ht="15.75" customHeight="1">
      <c r="A39" s="5"/>
      <c r="B39" s="6" t="s">
        <v>272</v>
      </c>
      <c r="C39" s="6" t="s">
        <v>273</v>
      </c>
      <c r="D39" s="6" t="s">
        <v>274</v>
      </c>
      <c r="E39" s="6">
        <v>10.0</v>
      </c>
      <c r="F39" s="5"/>
      <c r="G39" s="5"/>
      <c r="H39" s="5"/>
      <c r="I39" s="10"/>
      <c r="J39" s="10"/>
      <c r="K39" s="6" t="s">
        <v>246</v>
      </c>
      <c r="L39" s="6" t="s">
        <v>72</v>
      </c>
      <c r="M39" s="5"/>
      <c r="N39" s="6" t="s">
        <v>72</v>
      </c>
      <c r="O39" s="5"/>
      <c r="P39" s="5"/>
      <c r="Q39" s="6" t="s">
        <v>63</v>
      </c>
      <c r="R39" s="5"/>
      <c r="S39" s="6" t="s">
        <v>275</v>
      </c>
      <c r="T39" s="5"/>
      <c r="U39" s="5"/>
      <c r="V39" s="5"/>
      <c r="W39" s="5"/>
      <c r="X39" s="5"/>
      <c r="Y39" s="8">
        <f t="shared" si="1"/>
        <v>45901.32789</v>
      </c>
      <c r="Z39" s="5"/>
      <c r="AA39" s="6" t="s">
        <v>66</v>
      </c>
      <c r="AB39" s="6" t="s">
        <v>67</v>
      </c>
      <c r="AC39" s="5"/>
      <c r="AD39" s="5"/>
      <c r="AE39" s="5"/>
      <c r="AF39" s="5"/>
      <c r="AG39" s="5"/>
      <c r="AH39" s="5"/>
      <c r="AI39" s="5"/>
      <c r="AJ39" s="5"/>
      <c r="AK39" s="5"/>
      <c r="AL39" s="6" t="s">
        <v>63</v>
      </c>
      <c r="AM39" s="5"/>
      <c r="AN39" s="5"/>
      <c r="AO39" s="5"/>
      <c r="AP39" s="5"/>
      <c r="AQ39" s="5"/>
      <c r="AR39" s="5"/>
      <c r="AS39" s="5"/>
      <c r="AT39" s="5"/>
      <c r="AU39" s="5"/>
      <c r="AV39" s="5"/>
      <c r="AW39" s="5"/>
      <c r="AX39" s="5"/>
      <c r="AY39" s="5"/>
      <c r="AZ39" s="5"/>
      <c r="BA39" s="5"/>
      <c r="BB39" s="6" t="s">
        <v>69</v>
      </c>
      <c r="BC39" s="5"/>
      <c r="BD39" s="6" t="s">
        <v>69</v>
      </c>
      <c r="BE39" s="6">
        <v>1001.0</v>
      </c>
    </row>
    <row r="40" ht="15.75" customHeight="1">
      <c r="A40" s="6">
        <v>736.0</v>
      </c>
      <c r="B40" s="6" t="s">
        <v>206</v>
      </c>
      <c r="C40" s="6" t="s">
        <v>276</v>
      </c>
      <c r="D40" s="6" t="s">
        <v>277</v>
      </c>
      <c r="E40" s="6">
        <v>10.0</v>
      </c>
      <c r="F40" s="5"/>
      <c r="G40" s="5"/>
      <c r="H40" s="5"/>
      <c r="I40" s="10"/>
      <c r="J40" s="10"/>
      <c r="K40" s="5"/>
      <c r="L40" s="5"/>
      <c r="M40" s="5"/>
      <c r="N40" s="5"/>
      <c r="O40" s="5"/>
      <c r="P40" s="5"/>
      <c r="Q40" s="6" t="s">
        <v>63</v>
      </c>
      <c r="R40" s="5"/>
      <c r="S40" s="6" t="s">
        <v>242</v>
      </c>
      <c r="T40" s="5"/>
      <c r="U40" s="5"/>
      <c r="V40" s="5"/>
      <c r="W40" s="5"/>
      <c r="X40" s="5"/>
      <c r="Y40" s="8">
        <f t="shared" si="1"/>
        <v>45901.32789</v>
      </c>
      <c r="Z40" s="5"/>
      <c r="AA40" s="6" t="s">
        <v>66</v>
      </c>
      <c r="AB40" s="6" t="s">
        <v>67</v>
      </c>
      <c r="AC40" s="5"/>
      <c r="AD40" s="5"/>
      <c r="AE40" s="5"/>
      <c r="AF40" s="5"/>
      <c r="AG40" s="5"/>
      <c r="AH40" s="5"/>
      <c r="AI40" s="5"/>
      <c r="AJ40" s="5"/>
      <c r="AK40" s="5"/>
      <c r="AL40" s="6" t="s">
        <v>63</v>
      </c>
      <c r="AM40" s="5"/>
      <c r="AN40" s="5"/>
      <c r="AO40" s="5"/>
      <c r="AP40" s="5"/>
      <c r="AQ40" s="5"/>
      <c r="AR40" s="5"/>
      <c r="AS40" s="5"/>
      <c r="AT40" s="5"/>
      <c r="AU40" s="5"/>
      <c r="AV40" s="5"/>
      <c r="AW40" s="5"/>
      <c r="AX40" s="5"/>
      <c r="AY40" s="5"/>
      <c r="AZ40" s="5"/>
      <c r="BA40" s="5"/>
      <c r="BB40" s="6" t="s">
        <v>69</v>
      </c>
      <c r="BC40" s="5"/>
      <c r="BD40" s="6" t="s">
        <v>69</v>
      </c>
      <c r="BE40" s="6">
        <v>1001.0</v>
      </c>
    </row>
    <row r="41" ht="15.75" customHeight="1">
      <c r="A41" s="5"/>
      <c r="B41" s="6" t="s">
        <v>225</v>
      </c>
      <c r="C41" s="6" t="s">
        <v>278</v>
      </c>
      <c r="D41" s="6" t="s">
        <v>279</v>
      </c>
      <c r="E41" s="6">
        <v>10.0</v>
      </c>
      <c r="F41" s="5"/>
      <c r="G41" s="5"/>
      <c r="H41" s="5"/>
      <c r="I41" s="10"/>
      <c r="J41" s="10"/>
      <c r="K41" s="6" t="s">
        <v>246</v>
      </c>
      <c r="L41" s="6" t="s">
        <v>72</v>
      </c>
      <c r="M41" s="5"/>
      <c r="N41" s="6" t="s">
        <v>72</v>
      </c>
      <c r="O41" s="5"/>
      <c r="P41" s="5"/>
      <c r="Q41" s="6" t="s">
        <v>63</v>
      </c>
      <c r="R41" s="5"/>
      <c r="S41" s="6" t="s">
        <v>280</v>
      </c>
      <c r="T41" s="5"/>
      <c r="U41" s="5"/>
      <c r="V41" s="5"/>
      <c r="W41" s="5"/>
      <c r="X41" s="5"/>
      <c r="Y41" s="8">
        <f t="shared" si="1"/>
        <v>45901.32789</v>
      </c>
      <c r="Z41" s="5"/>
      <c r="AA41" s="6" t="s">
        <v>66</v>
      </c>
      <c r="AB41" s="6" t="s">
        <v>67</v>
      </c>
      <c r="AC41" s="5"/>
      <c r="AD41" s="5"/>
      <c r="AE41" s="5"/>
      <c r="AF41" s="5"/>
      <c r="AG41" s="5"/>
      <c r="AH41" s="5"/>
      <c r="AI41" s="5"/>
      <c r="AJ41" s="5"/>
      <c r="AK41" s="5"/>
      <c r="AL41" s="6" t="s">
        <v>63</v>
      </c>
      <c r="AM41" s="5"/>
      <c r="AN41" s="5"/>
      <c r="AO41" s="5"/>
      <c r="AP41" s="5"/>
      <c r="AQ41" s="5"/>
      <c r="AR41" s="5"/>
      <c r="AS41" s="5"/>
      <c r="AT41" s="5"/>
      <c r="AU41" s="5"/>
      <c r="AV41" s="5"/>
      <c r="AW41" s="5"/>
      <c r="AX41" s="5"/>
      <c r="AY41" s="5"/>
      <c r="AZ41" s="5"/>
      <c r="BA41" s="5"/>
      <c r="BB41" s="6" t="s">
        <v>69</v>
      </c>
      <c r="BC41" s="5"/>
      <c r="BD41" s="6" t="s">
        <v>69</v>
      </c>
      <c r="BE41" s="6">
        <v>1001.0</v>
      </c>
    </row>
    <row r="42" ht="15.75" customHeight="1">
      <c r="A42" s="5"/>
      <c r="B42" s="6" t="s">
        <v>281</v>
      </c>
      <c r="C42" s="6" t="s">
        <v>282</v>
      </c>
      <c r="D42" s="6" t="s">
        <v>283</v>
      </c>
      <c r="E42" s="6">
        <v>9.0</v>
      </c>
      <c r="F42" s="5"/>
      <c r="G42" s="5"/>
      <c r="H42" s="5"/>
      <c r="I42" s="10"/>
      <c r="J42" s="10"/>
      <c r="K42" s="6" t="s">
        <v>246</v>
      </c>
      <c r="L42" s="6" t="s">
        <v>72</v>
      </c>
      <c r="M42" s="5"/>
      <c r="N42" s="6" t="s">
        <v>72</v>
      </c>
      <c r="O42" s="5"/>
      <c r="P42" s="5"/>
      <c r="Q42" s="6" t="s">
        <v>63</v>
      </c>
      <c r="R42" s="5"/>
      <c r="S42" s="6" t="s">
        <v>284</v>
      </c>
      <c r="T42" s="5"/>
      <c r="U42" s="5"/>
      <c r="V42" s="5"/>
      <c r="W42" s="5"/>
      <c r="X42" s="5"/>
      <c r="Y42" s="8">
        <f t="shared" si="1"/>
        <v>45901.32789</v>
      </c>
      <c r="Z42" s="5"/>
      <c r="AA42" s="6" t="s">
        <v>66</v>
      </c>
      <c r="AB42" s="6" t="s">
        <v>67</v>
      </c>
      <c r="AC42" s="5"/>
      <c r="AD42" s="5"/>
      <c r="AE42" s="5"/>
      <c r="AF42" s="5"/>
      <c r="AG42" s="5"/>
      <c r="AH42" s="5"/>
      <c r="AI42" s="5"/>
      <c r="AJ42" s="5"/>
      <c r="AK42" s="5"/>
      <c r="AL42" s="6" t="s">
        <v>63</v>
      </c>
      <c r="AM42" s="5"/>
      <c r="AN42" s="5"/>
      <c r="AO42" s="5"/>
      <c r="AP42" s="5"/>
      <c r="AQ42" s="5"/>
      <c r="AR42" s="5"/>
      <c r="AS42" s="5"/>
      <c r="AT42" s="5"/>
      <c r="AU42" s="5"/>
      <c r="AV42" s="5"/>
      <c r="AW42" s="5"/>
      <c r="AX42" s="5"/>
      <c r="AY42" s="5"/>
      <c r="AZ42" s="5"/>
      <c r="BA42" s="5"/>
      <c r="BB42" s="6" t="s">
        <v>69</v>
      </c>
      <c r="BC42" s="5"/>
      <c r="BD42" s="6" t="s">
        <v>69</v>
      </c>
      <c r="BE42" s="6">
        <v>1001.0</v>
      </c>
    </row>
    <row r="43" ht="15.75" customHeight="1">
      <c r="A43" s="5"/>
      <c r="B43" s="6" t="s">
        <v>55</v>
      </c>
      <c r="C43" s="6" t="s">
        <v>285</v>
      </c>
      <c r="D43" s="6" t="s">
        <v>286</v>
      </c>
      <c r="E43" s="6">
        <v>9.0</v>
      </c>
      <c r="F43" s="5"/>
      <c r="G43" s="5"/>
      <c r="H43" s="5"/>
      <c r="I43" s="10"/>
      <c r="J43" s="10"/>
      <c r="K43" s="6" t="s">
        <v>246</v>
      </c>
      <c r="L43" s="6" t="s">
        <v>72</v>
      </c>
      <c r="M43" s="5"/>
      <c r="N43" s="6" t="s">
        <v>72</v>
      </c>
      <c r="O43" s="5"/>
      <c r="P43" s="5"/>
      <c r="Q43" s="6" t="s">
        <v>63</v>
      </c>
      <c r="R43" s="5"/>
      <c r="S43" s="6" t="s">
        <v>287</v>
      </c>
      <c r="T43" s="5"/>
      <c r="U43" s="5"/>
      <c r="V43" s="5"/>
      <c r="W43" s="5"/>
      <c r="X43" s="5"/>
      <c r="Y43" s="8">
        <f t="shared" si="1"/>
        <v>45901.32789</v>
      </c>
      <c r="Z43" s="5"/>
      <c r="AA43" s="6" t="s">
        <v>66</v>
      </c>
      <c r="AB43" s="6" t="s">
        <v>67</v>
      </c>
      <c r="AC43" s="5"/>
      <c r="AD43" s="5"/>
      <c r="AE43" s="5"/>
      <c r="AF43" s="5"/>
      <c r="AG43" s="5"/>
      <c r="AH43" s="5"/>
      <c r="AI43" s="5"/>
      <c r="AJ43" s="5"/>
      <c r="AK43" s="5"/>
      <c r="AL43" s="6" t="s">
        <v>63</v>
      </c>
      <c r="AM43" s="5"/>
      <c r="AN43" s="5"/>
      <c r="AO43" s="5"/>
      <c r="AP43" s="5"/>
      <c r="AQ43" s="5"/>
      <c r="AR43" s="5"/>
      <c r="AS43" s="5"/>
      <c r="AT43" s="5"/>
      <c r="AU43" s="5"/>
      <c r="AV43" s="5"/>
      <c r="AW43" s="5"/>
      <c r="AX43" s="5"/>
      <c r="AY43" s="5"/>
      <c r="AZ43" s="5"/>
      <c r="BA43" s="5"/>
      <c r="BB43" s="6" t="s">
        <v>69</v>
      </c>
      <c r="BC43" s="5"/>
      <c r="BD43" s="6" t="s">
        <v>69</v>
      </c>
      <c r="BE43" s="6">
        <v>1001.0</v>
      </c>
    </row>
    <row r="44" ht="15.75" customHeight="1">
      <c r="A44" s="6">
        <v>755.0</v>
      </c>
      <c r="B44" s="6" t="s">
        <v>133</v>
      </c>
      <c r="C44" s="6" t="s">
        <v>288</v>
      </c>
      <c r="D44" s="5"/>
      <c r="E44" s="6">
        <v>10.0</v>
      </c>
      <c r="F44" s="5"/>
      <c r="G44" s="5"/>
      <c r="H44" s="5"/>
      <c r="I44" s="10"/>
      <c r="J44" s="10"/>
      <c r="K44" s="6" t="s">
        <v>246</v>
      </c>
      <c r="L44" s="6" t="s">
        <v>72</v>
      </c>
      <c r="M44" s="5"/>
      <c r="N44" s="6" t="s">
        <v>72</v>
      </c>
      <c r="O44" s="5"/>
      <c r="P44" s="5"/>
      <c r="Q44" s="6" t="s">
        <v>63</v>
      </c>
      <c r="R44" s="5"/>
      <c r="S44" s="6" t="s">
        <v>289</v>
      </c>
      <c r="T44" s="5"/>
      <c r="U44" s="5"/>
      <c r="V44" s="5"/>
      <c r="W44" s="5"/>
      <c r="X44" s="5"/>
      <c r="Y44" s="8">
        <f t="shared" si="1"/>
        <v>45901.32789</v>
      </c>
      <c r="Z44" s="5"/>
      <c r="AA44" s="6" t="s">
        <v>66</v>
      </c>
      <c r="AB44" s="6" t="s">
        <v>67</v>
      </c>
      <c r="AC44" s="5"/>
      <c r="AD44" s="5"/>
      <c r="AE44" s="5"/>
      <c r="AF44" s="5"/>
      <c r="AG44" s="5"/>
      <c r="AH44" s="5"/>
      <c r="AI44" s="5"/>
      <c r="AJ44" s="5"/>
      <c r="AK44" s="5"/>
      <c r="AL44" s="6" t="s">
        <v>63</v>
      </c>
      <c r="AM44" s="5"/>
      <c r="AN44" s="5"/>
      <c r="AO44" s="5"/>
      <c r="AP44" s="5"/>
      <c r="AQ44" s="5"/>
      <c r="AR44" s="5"/>
      <c r="AS44" s="5"/>
      <c r="AT44" s="5"/>
      <c r="AU44" s="5"/>
      <c r="AV44" s="5"/>
      <c r="AW44" s="5"/>
      <c r="AX44" s="5"/>
      <c r="AY44" s="5"/>
      <c r="AZ44" s="5"/>
      <c r="BA44" s="5"/>
      <c r="BB44" s="6" t="s">
        <v>69</v>
      </c>
      <c r="BC44" s="5"/>
      <c r="BD44" s="6" t="s">
        <v>69</v>
      </c>
      <c r="BE44" s="6">
        <v>1001.0</v>
      </c>
    </row>
    <row r="45" ht="15.75" customHeight="1">
      <c r="A45" s="5"/>
      <c r="B45" s="5"/>
      <c r="C45" s="5"/>
      <c r="D45" s="5"/>
      <c r="E45" s="5"/>
      <c r="F45" s="5"/>
      <c r="G45" s="5"/>
      <c r="H45" s="5"/>
      <c r="I45" s="10"/>
      <c r="J45" s="10"/>
      <c r="K45" s="6" t="s">
        <v>246</v>
      </c>
      <c r="L45" s="6" t="s">
        <v>72</v>
      </c>
      <c r="M45" s="5"/>
      <c r="N45" s="6" t="s">
        <v>72</v>
      </c>
      <c r="O45" s="5"/>
      <c r="P45" s="5"/>
      <c r="Q45" s="6" t="s">
        <v>63</v>
      </c>
      <c r="R45" s="5"/>
      <c r="S45" s="5"/>
      <c r="T45" s="5"/>
      <c r="U45" s="5"/>
      <c r="V45" s="5"/>
      <c r="W45" s="5"/>
      <c r="X45" s="5"/>
      <c r="Y45" s="8">
        <f t="shared" si="1"/>
        <v>45901.32789</v>
      </c>
      <c r="Z45" s="5"/>
      <c r="AA45" s="6" t="s">
        <v>66</v>
      </c>
      <c r="AB45" s="6" t="s">
        <v>67</v>
      </c>
      <c r="AC45" s="5"/>
      <c r="AD45" s="5"/>
      <c r="AE45" s="5"/>
      <c r="AF45" s="5"/>
      <c r="AG45" s="5"/>
      <c r="AH45" s="5"/>
      <c r="AI45" s="5"/>
      <c r="AJ45" s="5"/>
      <c r="AK45" s="5"/>
      <c r="AL45" s="6" t="s">
        <v>63</v>
      </c>
      <c r="AM45" s="5"/>
      <c r="AN45" s="5"/>
      <c r="AO45" s="5"/>
      <c r="AP45" s="5"/>
      <c r="AQ45" s="5"/>
      <c r="AR45" s="5"/>
      <c r="AS45" s="5"/>
      <c r="AT45" s="5"/>
      <c r="AU45" s="5"/>
      <c r="AV45" s="5"/>
      <c r="AW45" s="5"/>
      <c r="AX45" s="5"/>
      <c r="AY45" s="5"/>
      <c r="AZ45" s="5"/>
      <c r="BA45" s="5"/>
      <c r="BB45" s="6" t="s">
        <v>69</v>
      </c>
      <c r="BC45" s="5"/>
      <c r="BD45" s="6" t="s">
        <v>69</v>
      </c>
      <c r="BE45" s="6">
        <v>1001.0</v>
      </c>
    </row>
    <row r="46" ht="15.75" customHeight="1">
      <c r="A46" s="5"/>
      <c r="B46" s="6" t="s">
        <v>290</v>
      </c>
      <c r="C46" s="6" t="s">
        <v>291</v>
      </c>
      <c r="D46" s="6" t="s">
        <v>292</v>
      </c>
      <c r="E46" s="6">
        <v>9.0</v>
      </c>
      <c r="F46" s="5"/>
      <c r="G46" s="5"/>
      <c r="H46" s="5"/>
      <c r="I46" s="10"/>
      <c r="J46" s="10"/>
      <c r="K46" s="6" t="s">
        <v>246</v>
      </c>
      <c r="L46" s="6" t="s">
        <v>72</v>
      </c>
      <c r="M46" s="5"/>
      <c r="N46" s="6" t="s">
        <v>72</v>
      </c>
      <c r="O46" s="5"/>
      <c r="P46" s="5"/>
      <c r="Q46" s="6" t="s">
        <v>63</v>
      </c>
      <c r="R46" s="5"/>
      <c r="S46" s="6" t="s">
        <v>293</v>
      </c>
      <c r="T46" s="5"/>
      <c r="U46" s="5"/>
      <c r="V46" s="5"/>
      <c r="W46" s="5"/>
      <c r="X46" s="5"/>
      <c r="Y46" s="8">
        <f t="shared" si="1"/>
        <v>45901.32789</v>
      </c>
      <c r="Z46" s="5"/>
      <c r="AA46" s="6" t="s">
        <v>66</v>
      </c>
      <c r="AB46" s="6" t="s">
        <v>67</v>
      </c>
      <c r="AC46" s="5"/>
      <c r="AD46" s="5"/>
      <c r="AE46" s="5"/>
      <c r="AF46" s="5"/>
      <c r="AG46" s="5"/>
      <c r="AH46" s="5"/>
      <c r="AI46" s="5"/>
      <c r="AJ46" s="5"/>
      <c r="AK46" s="5"/>
      <c r="AL46" s="6" t="s">
        <v>63</v>
      </c>
      <c r="AM46" s="5"/>
      <c r="AN46" s="5"/>
      <c r="AO46" s="5"/>
      <c r="AP46" s="5"/>
      <c r="AQ46" s="5"/>
      <c r="AR46" s="5"/>
      <c r="AS46" s="5"/>
      <c r="AT46" s="5"/>
      <c r="AU46" s="5"/>
      <c r="AV46" s="5"/>
      <c r="AW46" s="5"/>
      <c r="AX46" s="5"/>
      <c r="AY46" s="5"/>
      <c r="AZ46" s="5"/>
      <c r="BA46" s="5"/>
      <c r="BB46" s="6" t="s">
        <v>69</v>
      </c>
      <c r="BC46" s="5"/>
      <c r="BD46" s="6" t="s">
        <v>69</v>
      </c>
      <c r="BE46" s="6">
        <v>1001.0</v>
      </c>
    </row>
    <row r="47" ht="15.75" customHeight="1">
      <c r="A47" s="5"/>
      <c r="B47" s="6" t="s">
        <v>294</v>
      </c>
      <c r="C47" s="6" t="s">
        <v>295</v>
      </c>
      <c r="D47" s="6" t="s">
        <v>296</v>
      </c>
      <c r="E47" s="6">
        <v>9.0</v>
      </c>
      <c r="F47" s="5"/>
      <c r="G47" s="5"/>
      <c r="H47" s="5"/>
      <c r="I47" s="10"/>
      <c r="J47" s="10"/>
      <c r="K47" s="6" t="s">
        <v>246</v>
      </c>
      <c r="L47" s="6" t="s">
        <v>72</v>
      </c>
      <c r="M47" s="5"/>
      <c r="N47" s="6" t="s">
        <v>72</v>
      </c>
      <c r="O47" s="5"/>
      <c r="P47" s="5"/>
      <c r="Q47" s="6" t="s">
        <v>63</v>
      </c>
      <c r="R47" s="5"/>
      <c r="S47" s="6" t="s">
        <v>297</v>
      </c>
      <c r="T47" s="5"/>
      <c r="U47" s="5"/>
      <c r="V47" s="5"/>
      <c r="W47" s="5"/>
      <c r="X47" s="5"/>
      <c r="Y47" s="8">
        <f t="shared" si="1"/>
        <v>45901.32789</v>
      </c>
      <c r="Z47" s="5"/>
      <c r="AA47" s="6" t="s">
        <v>66</v>
      </c>
      <c r="AB47" s="6" t="s">
        <v>67</v>
      </c>
      <c r="AC47" s="5"/>
      <c r="AD47" s="5"/>
      <c r="AE47" s="5"/>
      <c r="AF47" s="5"/>
      <c r="AG47" s="5"/>
      <c r="AH47" s="5"/>
      <c r="AI47" s="5"/>
      <c r="AJ47" s="5"/>
      <c r="AK47" s="5"/>
      <c r="AL47" s="6" t="s">
        <v>63</v>
      </c>
      <c r="AM47" s="5"/>
      <c r="AN47" s="5"/>
      <c r="AO47" s="5"/>
      <c r="AP47" s="5"/>
      <c r="AQ47" s="5"/>
      <c r="AR47" s="5"/>
      <c r="AS47" s="5"/>
      <c r="AT47" s="5"/>
      <c r="AU47" s="5"/>
      <c r="AV47" s="5"/>
      <c r="AW47" s="5"/>
      <c r="AX47" s="5"/>
      <c r="AY47" s="5"/>
      <c r="AZ47" s="5"/>
      <c r="BA47" s="5"/>
      <c r="BB47" s="6" t="s">
        <v>69</v>
      </c>
      <c r="BC47" s="5"/>
      <c r="BD47" s="6" t="s">
        <v>69</v>
      </c>
      <c r="BE47" s="6">
        <v>1001.0</v>
      </c>
    </row>
    <row r="48" ht="15.75" customHeight="1">
      <c r="A48" s="5"/>
      <c r="B48" s="6" t="s">
        <v>298</v>
      </c>
      <c r="C48" s="6" t="s">
        <v>299</v>
      </c>
      <c r="D48" s="6" t="s">
        <v>300</v>
      </c>
      <c r="E48" s="6">
        <v>9.0</v>
      </c>
      <c r="F48" s="5"/>
      <c r="G48" s="5"/>
      <c r="H48" s="5"/>
      <c r="I48" s="10"/>
      <c r="J48" s="10"/>
      <c r="K48" s="6" t="s">
        <v>246</v>
      </c>
      <c r="L48" s="6" t="s">
        <v>72</v>
      </c>
      <c r="M48" s="5"/>
      <c r="N48" s="6" t="s">
        <v>72</v>
      </c>
      <c r="O48" s="5"/>
      <c r="P48" s="5"/>
      <c r="Q48" s="6" t="s">
        <v>63</v>
      </c>
      <c r="R48" s="5"/>
      <c r="S48" s="6" t="s">
        <v>240</v>
      </c>
      <c r="T48" s="5"/>
      <c r="U48" s="5"/>
      <c r="V48" s="5"/>
      <c r="W48" s="5"/>
      <c r="X48" s="5"/>
      <c r="Y48" s="8">
        <f t="shared" si="1"/>
        <v>45901.32789</v>
      </c>
      <c r="Z48" s="5"/>
      <c r="AA48" s="6" t="s">
        <v>66</v>
      </c>
      <c r="AB48" s="6" t="s">
        <v>67</v>
      </c>
      <c r="AC48" s="5"/>
      <c r="AD48" s="5"/>
      <c r="AE48" s="5"/>
      <c r="AF48" s="5"/>
      <c r="AG48" s="5"/>
      <c r="AH48" s="5"/>
      <c r="AI48" s="5"/>
      <c r="AJ48" s="5"/>
      <c r="AK48" s="5"/>
      <c r="AL48" s="6" t="s">
        <v>63</v>
      </c>
      <c r="AM48" s="5"/>
      <c r="AN48" s="5"/>
      <c r="AO48" s="5"/>
      <c r="AP48" s="5"/>
      <c r="AQ48" s="5"/>
      <c r="AR48" s="5"/>
      <c r="AS48" s="5"/>
      <c r="AT48" s="5"/>
      <c r="AU48" s="5"/>
      <c r="AV48" s="5"/>
      <c r="AW48" s="5"/>
      <c r="AX48" s="5"/>
      <c r="AY48" s="5"/>
      <c r="AZ48" s="5"/>
      <c r="BA48" s="5"/>
      <c r="BB48" s="6" t="s">
        <v>69</v>
      </c>
      <c r="BC48" s="5"/>
      <c r="BD48" s="6" t="s">
        <v>69</v>
      </c>
      <c r="BE48" s="6">
        <v>1001.0</v>
      </c>
    </row>
    <row r="49" ht="15.75" customHeight="1">
      <c r="A49" s="5"/>
      <c r="B49" s="6" t="s">
        <v>301</v>
      </c>
      <c r="C49" s="6" t="s">
        <v>302</v>
      </c>
      <c r="D49" s="6" t="s">
        <v>303</v>
      </c>
      <c r="E49" s="6">
        <v>8.0</v>
      </c>
      <c r="F49" s="5"/>
      <c r="G49" s="5"/>
      <c r="H49" s="5"/>
      <c r="I49" s="10"/>
      <c r="J49" s="10"/>
      <c r="K49" s="6" t="s">
        <v>246</v>
      </c>
      <c r="L49" s="6" t="s">
        <v>72</v>
      </c>
      <c r="M49" s="5"/>
      <c r="N49" s="6" t="s">
        <v>72</v>
      </c>
      <c r="O49" s="5"/>
      <c r="P49" s="5"/>
      <c r="Q49" s="6" t="s">
        <v>63</v>
      </c>
      <c r="R49" s="5"/>
      <c r="S49" s="6" t="s">
        <v>304</v>
      </c>
      <c r="T49" s="5"/>
      <c r="U49" s="5"/>
      <c r="V49" s="5"/>
      <c r="W49" s="5"/>
      <c r="X49" s="5"/>
      <c r="Y49" s="8">
        <f t="shared" si="1"/>
        <v>45901.32789</v>
      </c>
      <c r="Z49" s="5"/>
      <c r="AA49" s="6" t="s">
        <v>66</v>
      </c>
      <c r="AB49" s="6" t="s">
        <v>67</v>
      </c>
      <c r="AC49" s="5"/>
      <c r="AD49" s="5"/>
      <c r="AE49" s="5"/>
      <c r="AF49" s="5"/>
      <c r="AG49" s="5"/>
      <c r="AH49" s="5"/>
      <c r="AI49" s="5"/>
      <c r="AJ49" s="5"/>
      <c r="AK49" s="5"/>
      <c r="AL49" s="6" t="s">
        <v>63</v>
      </c>
      <c r="AM49" s="5"/>
      <c r="AN49" s="5"/>
      <c r="AO49" s="5"/>
      <c r="AP49" s="5"/>
      <c r="AQ49" s="5"/>
      <c r="AR49" s="5"/>
      <c r="AS49" s="5"/>
      <c r="AT49" s="5"/>
      <c r="AU49" s="5"/>
      <c r="AV49" s="5"/>
      <c r="AW49" s="5"/>
      <c r="AX49" s="5"/>
      <c r="AY49" s="5"/>
      <c r="AZ49" s="5"/>
      <c r="BA49" s="5"/>
      <c r="BB49" s="6" t="s">
        <v>69</v>
      </c>
      <c r="BC49" s="5"/>
      <c r="BD49" s="6" t="s">
        <v>69</v>
      </c>
      <c r="BE49" s="6">
        <v>1001.0</v>
      </c>
    </row>
    <row r="50" ht="15.75" customHeight="1">
      <c r="A50" s="5"/>
      <c r="B50" s="6" t="s">
        <v>305</v>
      </c>
      <c r="C50" s="6" t="s">
        <v>236</v>
      </c>
      <c r="D50" s="6" t="s">
        <v>306</v>
      </c>
      <c r="E50" s="6">
        <v>9.0</v>
      </c>
      <c r="F50" s="6" t="s">
        <v>238</v>
      </c>
      <c r="G50" s="6" t="s">
        <v>238</v>
      </c>
      <c r="H50" s="5"/>
      <c r="I50" s="10"/>
      <c r="J50" s="10"/>
      <c r="K50" s="6" t="s">
        <v>246</v>
      </c>
      <c r="L50" s="6" t="s">
        <v>72</v>
      </c>
      <c r="M50" s="5"/>
      <c r="N50" s="6" t="s">
        <v>72</v>
      </c>
      <c r="O50" s="5"/>
      <c r="P50" s="5"/>
      <c r="Q50" s="6" t="s">
        <v>63</v>
      </c>
      <c r="R50" s="5"/>
      <c r="S50" s="6" t="s">
        <v>240</v>
      </c>
      <c r="T50" s="5"/>
      <c r="U50" s="5"/>
      <c r="V50" s="5"/>
      <c r="W50" s="5"/>
      <c r="X50" s="5"/>
      <c r="Y50" s="8">
        <f t="shared" si="1"/>
        <v>45901.32789</v>
      </c>
      <c r="Z50" s="5"/>
      <c r="AA50" s="6" t="s">
        <v>66</v>
      </c>
      <c r="AB50" s="6" t="s">
        <v>67</v>
      </c>
      <c r="AC50" s="5"/>
      <c r="AD50" s="5"/>
      <c r="AE50" s="5"/>
      <c r="AF50" s="5"/>
      <c r="AG50" s="5"/>
      <c r="AH50" s="5"/>
      <c r="AI50" s="5"/>
      <c r="AJ50" s="5"/>
      <c r="AK50" s="5"/>
      <c r="AL50" s="6" t="s">
        <v>63</v>
      </c>
      <c r="AM50" s="5"/>
      <c r="AN50" s="5"/>
      <c r="AO50" s="5"/>
      <c r="AP50" s="5"/>
      <c r="AQ50" s="5"/>
      <c r="AR50" s="5"/>
      <c r="AS50" s="5"/>
      <c r="AT50" s="5"/>
      <c r="AU50" s="5"/>
      <c r="AV50" s="5"/>
      <c r="AW50" s="5"/>
      <c r="AX50" s="5"/>
      <c r="AY50" s="5"/>
      <c r="AZ50" s="5"/>
      <c r="BA50" s="5"/>
      <c r="BB50" s="6" t="s">
        <v>69</v>
      </c>
      <c r="BC50" s="5"/>
      <c r="BD50" s="6" t="s">
        <v>69</v>
      </c>
      <c r="BE50" s="6">
        <v>1001.0</v>
      </c>
    </row>
    <row r="51" ht="15.75" customHeight="1">
      <c r="A51" s="5"/>
      <c r="B51" s="6" t="s">
        <v>307</v>
      </c>
      <c r="C51" s="6" t="s">
        <v>308</v>
      </c>
      <c r="D51" s="6" t="s">
        <v>309</v>
      </c>
      <c r="E51" s="6">
        <v>9.0</v>
      </c>
      <c r="F51" s="5"/>
      <c r="G51" s="5"/>
      <c r="H51" s="5"/>
      <c r="I51" s="10"/>
      <c r="J51" s="10"/>
      <c r="K51" s="6" t="s">
        <v>246</v>
      </c>
      <c r="L51" s="6" t="s">
        <v>72</v>
      </c>
      <c r="M51" s="5"/>
      <c r="N51" s="6" t="s">
        <v>72</v>
      </c>
      <c r="O51" s="5"/>
      <c r="P51" s="5"/>
      <c r="Q51" s="6" t="s">
        <v>63</v>
      </c>
      <c r="R51" s="5"/>
      <c r="S51" s="6" t="s">
        <v>310</v>
      </c>
      <c r="T51" s="5"/>
      <c r="U51" s="5"/>
      <c r="V51" s="5"/>
      <c r="W51" s="5"/>
      <c r="X51" s="5"/>
      <c r="Y51" s="8">
        <f t="shared" si="1"/>
        <v>45901.32789</v>
      </c>
      <c r="Z51" s="5"/>
      <c r="AA51" s="6" t="s">
        <v>66</v>
      </c>
      <c r="AB51" s="6" t="s">
        <v>67</v>
      </c>
      <c r="AC51" s="5"/>
      <c r="AD51" s="5"/>
      <c r="AE51" s="5"/>
      <c r="AF51" s="5"/>
      <c r="AG51" s="5"/>
      <c r="AH51" s="5"/>
      <c r="AI51" s="5"/>
      <c r="AJ51" s="5"/>
      <c r="AK51" s="5"/>
      <c r="AL51" s="6" t="s">
        <v>63</v>
      </c>
      <c r="AM51" s="5"/>
      <c r="AN51" s="5"/>
      <c r="AO51" s="5"/>
      <c r="AP51" s="5"/>
      <c r="AQ51" s="5"/>
      <c r="AR51" s="5"/>
      <c r="AS51" s="5"/>
      <c r="AT51" s="5"/>
      <c r="AU51" s="5"/>
      <c r="AV51" s="5"/>
      <c r="AW51" s="5"/>
      <c r="AX51" s="5"/>
      <c r="AY51" s="5"/>
      <c r="AZ51" s="5"/>
      <c r="BA51" s="5"/>
      <c r="BB51" s="6" t="s">
        <v>69</v>
      </c>
      <c r="BC51" s="5"/>
      <c r="BD51" s="6" t="s">
        <v>69</v>
      </c>
      <c r="BE51" s="6">
        <v>1001.0</v>
      </c>
    </row>
    <row r="52" ht="15.75" customHeight="1">
      <c r="A52" s="5"/>
      <c r="B52" s="6" t="s">
        <v>311</v>
      </c>
      <c r="C52" s="6" t="s">
        <v>312</v>
      </c>
      <c r="D52" s="6" t="s">
        <v>313</v>
      </c>
      <c r="E52" s="6">
        <v>9.0</v>
      </c>
      <c r="F52" s="5"/>
      <c r="G52" s="5"/>
      <c r="H52" s="5"/>
      <c r="I52" s="10"/>
      <c r="J52" s="10"/>
      <c r="K52" s="6" t="s">
        <v>246</v>
      </c>
      <c r="L52" s="6" t="s">
        <v>72</v>
      </c>
      <c r="M52" s="5"/>
      <c r="N52" s="6" t="s">
        <v>72</v>
      </c>
      <c r="O52" s="5"/>
      <c r="P52" s="5"/>
      <c r="Q52" s="6" t="s">
        <v>63</v>
      </c>
      <c r="R52" s="5"/>
      <c r="S52" s="6" t="s">
        <v>310</v>
      </c>
      <c r="T52" s="5"/>
      <c r="U52" s="5"/>
      <c r="V52" s="5"/>
      <c r="W52" s="5"/>
      <c r="X52" s="5"/>
      <c r="Y52" s="8">
        <f t="shared" si="1"/>
        <v>45901.32789</v>
      </c>
      <c r="Z52" s="5"/>
      <c r="AA52" s="6" t="s">
        <v>66</v>
      </c>
      <c r="AB52" s="6" t="s">
        <v>67</v>
      </c>
      <c r="AC52" s="5"/>
      <c r="AD52" s="5"/>
      <c r="AE52" s="5"/>
      <c r="AF52" s="5"/>
      <c r="AG52" s="5"/>
      <c r="AH52" s="5"/>
      <c r="AI52" s="5"/>
      <c r="AJ52" s="5"/>
      <c r="AK52" s="5"/>
      <c r="AL52" s="6" t="s">
        <v>63</v>
      </c>
      <c r="AM52" s="5"/>
      <c r="AN52" s="5"/>
      <c r="AO52" s="5"/>
      <c r="AP52" s="5"/>
      <c r="AQ52" s="5"/>
      <c r="AR52" s="5"/>
      <c r="AS52" s="5"/>
      <c r="AT52" s="5"/>
      <c r="AU52" s="5"/>
      <c r="AV52" s="5"/>
      <c r="AW52" s="5"/>
      <c r="AX52" s="5"/>
      <c r="AY52" s="5"/>
      <c r="AZ52" s="5"/>
      <c r="BA52" s="5"/>
      <c r="BB52" s="6" t="s">
        <v>69</v>
      </c>
      <c r="BC52" s="5"/>
      <c r="BD52" s="6" t="s">
        <v>69</v>
      </c>
      <c r="BE52" s="6">
        <v>1001.0</v>
      </c>
    </row>
    <row r="53" ht="15.75" customHeight="1">
      <c r="A53" s="5"/>
      <c r="B53" s="6" t="s">
        <v>314</v>
      </c>
      <c r="C53" s="6" t="s">
        <v>315</v>
      </c>
      <c r="D53" s="6" t="s">
        <v>316</v>
      </c>
      <c r="E53" s="6">
        <v>4.0</v>
      </c>
      <c r="F53" s="5"/>
      <c r="G53" s="5"/>
      <c r="H53" s="6" t="s">
        <v>61</v>
      </c>
      <c r="I53" s="10"/>
      <c r="J53" s="10"/>
      <c r="K53" s="6" t="s">
        <v>246</v>
      </c>
      <c r="L53" s="6" t="s">
        <v>72</v>
      </c>
      <c r="M53" s="5"/>
      <c r="N53" s="6" t="s">
        <v>72</v>
      </c>
      <c r="O53" s="5"/>
      <c r="P53" s="5"/>
      <c r="Q53" s="6" t="s">
        <v>63</v>
      </c>
      <c r="R53" s="5"/>
      <c r="S53" s="6" t="s">
        <v>317</v>
      </c>
      <c r="T53" s="5"/>
      <c r="U53" s="5"/>
      <c r="V53" s="5"/>
      <c r="W53" s="5"/>
      <c r="X53" s="5"/>
      <c r="Y53" s="8">
        <f t="shared" si="1"/>
        <v>45901.32789</v>
      </c>
      <c r="Z53" s="5"/>
      <c r="AA53" s="6" t="s">
        <v>66</v>
      </c>
      <c r="AB53" s="6" t="s">
        <v>67</v>
      </c>
      <c r="AC53" s="5"/>
      <c r="AD53" s="5"/>
      <c r="AE53" s="5"/>
      <c r="AF53" s="5"/>
      <c r="AG53" s="5"/>
      <c r="AH53" s="5"/>
      <c r="AI53" s="5"/>
      <c r="AJ53" s="5"/>
      <c r="AK53" s="5"/>
      <c r="AL53" s="6" t="s">
        <v>63</v>
      </c>
      <c r="AM53" s="5"/>
      <c r="AN53" s="5"/>
      <c r="AO53" s="5"/>
      <c r="AP53" s="5"/>
      <c r="AQ53" s="5"/>
      <c r="AR53" s="5"/>
      <c r="AS53" s="5"/>
      <c r="AT53" s="5"/>
      <c r="AU53" s="5"/>
      <c r="AV53" s="5"/>
      <c r="AW53" s="5"/>
      <c r="AX53" s="5"/>
      <c r="AY53" s="5"/>
      <c r="AZ53" s="5"/>
      <c r="BA53" s="5"/>
      <c r="BB53" s="6" t="s">
        <v>69</v>
      </c>
      <c r="BC53" s="5"/>
      <c r="BD53" s="6" t="s">
        <v>69</v>
      </c>
      <c r="BE53" s="6">
        <v>1001.0</v>
      </c>
    </row>
    <row r="54" ht="15.75" customHeight="1">
      <c r="A54" s="5"/>
      <c r="B54" s="5"/>
      <c r="C54" s="5"/>
      <c r="D54" s="5"/>
      <c r="E54" s="5"/>
      <c r="F54" s="5"/>
      <c r="G54" s="5"/>
      <c r="H54" s="5"/>
      <c r="I54" s="10"/>
      <c r="J54" s="10"/>
      <c r="K54" s="6" t="s">
        <v>246</v>
      </c>
      <c r="L54" s="6" t="s">
        <v>72</v>
      </c>
      <c r="M54" s="5"/>
      <c r="N54" s="6" t="s">
        <v>72</v>
      </c>
      <c r="O54" s="5"/>
      <c r="P54" s="5"/>
      <c r="Q54" s="6" t="s">
        <v>63</v>
      </c>
      <c r="R54" s="5"/>
      <c r="S54" s="5"/>
      <c r="T54" s="5"/>
      <c r="U54" s="5"/>
      <c r="V54" s="5"/>
      <c r="W54" s="5"/>
      <c r="X54" s="5"/>
      <c r="Y54" s="8">
        <f t="shared" si="1"/>
        <v>45901.32789</v>
      </c>
      <c r="Z54" s="5"/>
      <c r="AA54" s="6" t="s">
        <v>66</v>
      </c>
      <c r="AB54" s="6" t="s">
        <v>67</v>
      </c>
      <c r="AC54" s="5"/>
      <c r="AD54" s="5"/>
      <c r="AE54" s="5"/>
      <c r="AF54" s="5"/>
      <c r="AG54" s="5"/>
      <c r="AH54" s="5"/>
      <c r="AI54" s="5"/>
      <c r="AJ54" s="5"/>
      <c r="AK54" s="5"/>
      <c r="AL54" s="6" t="s">
        <v>63</v>
      </c>
      <c r="AM54" s="5"/>
      <c r="AN54" s="5"/>
      <c r="AO54" s="5"/>
      <c r="AP54" s="5"/>
      <c r="AQ54" s="5"/>
      <c r="AR54" s="5"/>
      <c r="AS54" s="5"/>
      <c r="AT54" s="5"/>
      <c r="AU54" s="5"/>
      <c r="AV54" s="5"/>
      <c r="AW54" s="5"/>
      <c r="AX54" s="5"/>
      <c r="AY54" s="5"/>
      <c r="AZ54" s="5"/>
      <c r="BA54" s="5"/>
      <c r="BB54" s="6" t="s">
        <v>69</v>
      </c>
      <c r="BC54" s="5"/>
      <c r="BD54" s="6" t="s">
        <v>69</v>
      </c>
      <c r="BE54" s="6">
        <v>1001.0</v>
      </c>
    </row>
    <row r="55" ht="15.75" customHeight="1">
      <c r="A55" s="5"/>
      <c r="B55" s="6" t="s">
        <v>318</v>
      </c>
      <c r="C55" s="6" t="s">
        <v>319</v>
      </c>
      <c r="D55" s="6" t="s">
        <v>320</v>
      </c>
      <c r="E55" s="6">
        <v>3.0</v>
      </c>
      <c r="F55" s="5"/>
      <c r="G55" s="5"/>
      <c r="H55" s="5"/>
      <c r="I55" s="10"/>
      <c r="J55" s="10"/>
      <c r="K55" s="6" t="s">
        <v>246</v>
      </c>
      <c r="L55" s="6" t="s">
        <v>72</v>
      </c>
      <c r="M55" s="5"/>
      <c r="N55" s="6" t="s">
        <v>72</v>
      </c>
      <c r="O55" s="5"/>
      <c r="P55" s="5"/>
      <c r="Q55" s="6" t="s">
        <v>63</v>
      </c>
      <c r="R55" s="5"/>
      <c r="S55" s="6" t="s">
        <v>321</v>
      </c>
      <c r="T55" s="5"/>
      <c r="U55" s="5"/>
      <c r="V55" s="5"/>
      <c r="W55" s="5"/>
      <c r="X55" s="5"/>
      <c r="Y55" s="8">
        <f t="shared" si="1"/>
        <v>45901.32789</v>
      </c>
      <c r="Z55" s="5"/>
      <c r="AA55" s="6" t="s">
        <v>66</v>
      </c>
      <c r="AB55" s="6" t="s">
        <v>67</v>
      </c>
      <c r="AC55" s="5"/>
      <c r="AD55" s="5"/>
      <c r="AE55" s="5"/>
      <c r="AF55" s="5"/>
      <c r="AG55" s="5"/>
      <c r="AH55" s="5"/>
      <c r="AI55" s="5"/>
      <c r="AJ55" s="5"/>
      <c r="AK55" s="5"/>
      <c r="AL55" s="6" t="s">
        <v>63</v>
      </c>
      <c r="AM55" s="5"/>
      <c r="AN55" s="5"/>
      <c r="AO55" s="5"/>
      <c r="AP55" s="5"/>
      <c r="AQ55" s="5"/>
      <c r="AR55" s="5"/>
      <c r="AS55" s="5"/>
      <c r="AT55" s="5"/>
      <c r="AU55" s="5"/>
      <c r="AV55" s="5"/>
      <c r="AW55" s="5"/>
      <c r="AX55" s="5"/>
      <c r="AY55" s="5"/>
      <c r="AZ55" s="5"/>
      <c r="BA55" s="5"/>
      <c r="BB55" s="6" t="s">
        <v>69</v>
      </c>
      <c r="BC55" s="5"/>
      <c r="BD55" s="6" t="s">
        <v>69</v>
      </c>
      <c r="BE55" s="6">
        <v>1001.0</v>
      </c>
    </row>
    <row r="56" ht="15.75" customHeight="1">
      <c r="A56" s="5"/>
      <c r="B56" s="6" t="s">
        <v>322</v>
      </c>
      <c r="C56" s="6" t="s">
        <v>323</v>
      </c>
      <c r="D56" s="6" t="s">
        <v>324</v>
      </c>
      <c r="E56" s="6">
        <v>4.0</v>
      </c>
      <c r="F56" s="5"/>
      <c r="G56" s="5"/>
      <c r="H56" s="6" t="s">
        <v>325</v>
      </c>
      <c r="I56" s="10"/>
      <c r="J56" s="10"/>
      <c r="K56" s="6" t="s">
        <v>246</v>
      </c>
      <c r="L56" s="6" t="s">
        <v>72</v>
      </c>
      <c r="M56" s="5"/>
      <c r="N56" s="6" t="s">
        <v>72</v>
      </c>
      <c r="O56" s="5"/>
      <c r="P56" s="5"/>
      <c r="Q56" s="6" t="s">
        <v>63</v>
      </c>
      <c r="R56" s="5"/>
      <c r="S56" s="6" t="s">
        <v>326</v>
      </c>
      <c r="T56" s="5"/>
      <c r="U56" s="5"/>
      <c r="V56" s="5"/>
      <c r="W56" s="5"/>
      <c r="X56" s="5"/>
      <c r="Y56" s="8">
        <f t="shared" si="1"/>
        <v>45901.32789</v>
      </c>
      <c r="Z56" s="5"/>
      <c r="AA56" s="6" t="s">
        <v>66</v>
      </c>
      <c r="AB56" s="6" t="s">
        <v>67</v>
      </c>
      <c r="AC56" s="5"/>
      <c r="AD56" s="5"/>
      <c r="AE56" s="5"/>
      <c r="AF56" s="5"/>
      <c r="AG56" s="5"/>
      <c r="AH56" s="5"/>
      <c r="AI56" s="5"/>
      <c r="AJ56" s="5"/>
      <c r="AK56" s="5"/>
      <c r="AL56" s="6" t="s">
        <v>63</v>
      </c>
      <c r="AM56" s="5"/>
      <c r="AN56" s="5"/>
      <c r="AO56" s="5"/>
      <c r="AP56" s="5"/>
      <c r="AQ56" s="5"/>
      <c r="AR56" s="5"/>
      <c r="AS56" s="5"/>
      <c r="AT56" s="5"/>
      <c r="AU56" s="5"/>
      <c r="AV56" s="5"/>
      <c r="AW56" s="5"/>
      <c r="AX56" s="5"/>
      <c r="AY56" s="5"/>
      <c r="AZ56" s="5"/>
      <c r="BA56" s="5"/>
      <c r="BB56" s="6" t="s">
        <v>69</v>
      </c>
      <c r="BC56" s="5"/>
      <c r="BD56" s="6" t="s">
        <v>69</v>
      </c>
      <c r="BE56" s="6">
        <v>1001.0</v>
      </c>
    </row>
    <row r="57" ht="15.75" customHeight="1">
      <c r="A57" s="5"/>
      <c r="B57" s="6" t="s">
        <v>327</v>
      </c>
      <c r="C57" s="6" t="s">
        <v>328</v>
      </c>
      <c r="D57" s="5"/>
      <c r="E57" s="6">
        <v>9.0</v>
      </c>
      <c r="F57" s="6" t="s">
        <v>329</v>
      </c>
      <c r="G57" s="6" t="s">
        <v>329</v>
      </c>
      <c r="H57" s="5"/>
      <c r="I57" s="10"/>
      <c r="J57" s="10"/>
      <c r="K57" s="6" t="s">
        <v>246</v>
      </c>
      <c r="L57" s="6" t="s">
        <v>72</v>
      </c>
      <c r="M57" s="5"/>
      <c r="N57" s="6" t="s">
        <v>72</v>
      </c>
      <c r="O57" s="14">
        <v>40342.0</v>
      </c>
      <c r="P57" s="6" t="s">
        <v>330</v>
      </c>
      <c r="Q57" s="6" t="s">
        <v>63</v>
      </c>
      <c r="R57" s="5"/>
      <c r="S57" s="6" t="s">
        <v>289</v>
      </c>
      <c r="T57" s="5"/>
      <c r="U57" s="5"/>
      <c r="V57" s="5"/>
      <c r="W57" s="5"/>
      <c r="X57" s="5"/>
      <c r="Y57" s="8">
        <f t="shared" si="1"/>
        <v>45901.32789</v>
      </c>
      <c r="Z57" s="5"/>
      <c r="AA57" s="6" t="s">
        <v>66</v>
      </c>
      <c r="AB57" s="6" t="s">
        <v>67</v>
      </c>
      <c r="AC57" s="5"/>
      <c r="AD57" s="5"/>
      <c r="AE57" s="5"/>
      <c r="AF57" s="5"/>
      <c r="AG57" s="5"/>
      <c r="AH57" s="5"/>
      <c r="AI57" s="5"/>
      <c r="AJ57" s="5"/>
      <c r="AK57" s="5"/>
      <c r="AL57" s="6" t="s">
        <v>63</v>
      </c>
      <c r="AM57" s="5"/>
      <c r="AN57" s="5"/>
      <c r="AO57" s="5"/>
      <c r="AP57" s="5"/>
      <c r="AQ57" s="5"/>
      <c r="AR57" s="5"/>
      <c r="AS57" s="5"/>
      <c r="AT57" s="5"/>
      <c r="AU57" s="5"/>
      <c r="AV57" s="5"/>
      <c r="AW57" s="5"/>
      <c r="AX57" s="5"/>
      <c r="AY57" s="5"/>
      <c r="AZ57" s="5"/>
      <c r="BA57" s="5"/>
      <c r="BB57" s="6" t="s">
        <v>69</v>
      </c>
      <c r="BC57" s="5"/>
      <c r="BD57" s="6" t="s">
        <v>69</v>
      </c>
      <c r="BE57" s="6">
        <v>1001.0</v>
      </c>
    </row>
    <row r="58" ht="15.75" customHeight="1">
      <c r="A58" s="5"/>
      <c r="B58" s="6" t="s">
        <v>331</v>
      </c>
      <c r="C58" s="6" t="s">
        <v>332</v>
      </c>
      <c r="D58" s="6" t="s">
        <v>333</v>
      </c>
      <c r="E58" s="6">
        <v>3.0</v>
      </c>
      <c r="F58" s="6" t="s">
        <v>77</v>
      </c>
      <c r="G58" s="6" t="s">
        <v>77</v>
      </c>
      <c r="H58" s="6" t="s">
        <v>72</v>
      </c>
      <c r="I58" s="10"/>
      <c r="J58" s="10"/>
      <c r="K58" s="6" t="s">
        <v>246</v>
      </c>
      <c r="L58" s="6" t="s">
        <v>72</v>
      </c>
      <c r="M58" s="5"/>
      <c r="N58" s="6" t="s">
        <v>72</v>
      </c>
      <c r="O58" s="5"/>
      <c r="P58" s="5"/>
      <c r="Q58" s="6" t="s">
        <v>171</v>
      </c>
      <c r="R58" s="5"/>
      <c r="S58" s="6" t="s">
        <v>334</v>
      </c>
      <c r="T58" s="5"/>
      <c r="U58" s="5"/>
      <c r="V58" s="5"/>
      <c r="W58" s="5"/>
      <c r="X58" s="5"/>
      <c r="Y58" s="8">
        <f t="shared" si="1"/>
        <v>45901.32789</v>
      </c>
      <c r="Z58" s="5"/>
      <c r="AA58" s="6" t="s">
        <v>66</v>
      </c>
      <c r="AB58" s="6" t="s">
        <v>67</v>
      </c>
      <c r="AC58" s="5"/>
      <c r="AD58" s="5"/>
      <c r="AE58" s="5"/>
      <c r="AF58" s="5"/>
      <c r="AG58" s="5"/>
      <c r="AH58" s="5"/>
      <c r="AI58" s="5"/>
      <c r="AJ58" s="5"/>
      <c r="AK58" s="5"/>
      <c r="AL58" s="6" t="s">
        <v>63</v>
      </c>
      <c r="AM58" s="5"/>
      <c r="AN58" s="5"/>
      <c r="AO58" s="5"/>
      <c r="AP58" s="5"/>
      <c r="AQ58" s="5"/>
      <c r="AR58" s="5"/>
      <c r="AS58" s="5"/>
      <c r="AT58" s="5"/>
      <c r="AU58" s="5"/>
      <c r="AV58" s="5"/>
      <c r="AW58" s="5"/>
      <c r="AX58" s="5"/>
      <c r="AY58" s="5"/>
      <c r="AZ58" s="5"/>
      <c r="BA58" s="5"/>
      <c r="BB58" s="6" t="s">
        <v>69</v>
      </c>
      <c r="BC58" s="5"/>
      <c r="BD58" s="6" t="s">
        <v>69</v>
      </c>
      <c r="BE58" s="6">
        <v>1001.0</v>
      </c>
    </row>
    <row r="59" ht="15.75" customHeight="1">
      <c r="A59" s="5"/>
      <c r="B59" s="6" t="s">
        <v>335</v>
      </c>
      <c r="C59" s="6" t="s">
        <v>336</v>
      </c>
      <c r="D59" s="6" t="s">
        <v>337</v>
      </c>
      <c r="E59" s="6">
        <v>9.0</v>
      </c>
      <c r="F59" s="5"/>
      <c r="G59" s="5"/>
      <c r="H59" s="5"/>
      <c r="I59" s="10"/>
      <c r="J59" s="10"/>
      <c r="K59" s="6" t="s">
        <v>246</v>
      </c>
      <c r="L59" s="6" t="s">
        <v>72</v>
      </c>
      <c r="M59" s="5"/>
      <c r="N59" s="6" t="s">
        <v>72</v>
      </c>
      <c r="O59" s="5"/>
      <c r="P59" s="5"/>
      <c r="Q59" s="6" t="s">
        <v>63</v>
      </c>
      <c r="R59" s="5"/>
      <c r="S59" s="6" t="s">
        <v>338</v>
      </c>
      <c r="T59" s="5"/>
      <c r="U59" s="5"/>
      <c r="V59" s="5"/>
      <c r="W59" s="5"/>
      <c r="X59" s="5"/>
      <c r="Y59" s="8">
        <f t="shared" si="1"/>
        <v>45901.32789</v>
      </c>
      <c r="Z59" s="5"/>
      <c r="AA59" s="6" t="s">
        <v>66</v>
      </c>
      <c r="AB59" s="6" t="s">
        <v>67</v>
      </c>
      <c r="AC59" s="5"/>
      <c r="AD59" s="5"/>
      <c r="AE59" s="5"/>
      <c r="AF59" s="5"/>
      <c r="AG59" s="5"/>
      <c r="AH59" s="5"/>
      <c r="AI59" s="5"/>
      <c r="AJ59" s="5"/>
      <c r="AK59" s="5"/>
      <c r="AL59" s="6" t="s">
        <v>63</v>
      </c>
      <c r="AM59" s="5"/>
      <c r="AN59" s="5"/>
      <c r="AO59" s="5"/>
      <c r="AP59" s="5"/>
      <c r="AQ59" s="5"/>
      <c r="AR59" s="5"/>
      <c r="AS59" s="5"/>
      <c r="AT59" s="5"/>
      <c r="AU59" s="5"/>
      <c r="AV59" s="5"/>
      <c r="AW59" s="5"/>
      <c r="AX59" s="5"/>
      <c r="AY59" s="5"/>
      <c r="AZ59" s="5"/>
      <c r="BA59" s="5"/>
      <c r="BB59" s="6" t="s">
        <v>69</v>
      </c>
      <c r="BC59" s="5"/>
      <c r="BD59" s="6" t="s">
        <v>69</v>
      </c>
      <c r="BE59" s="6">
        <v>1001.0</v>
      </c>
    </row>
    <row r="60" ht="15.75" customHeight="1">
      <c r="A60" s="5"/>
      <c r="B60" s="6" t="s">
        <v>339</v>
      </c>
      <c r="C60" s="6" t="s">
        <v>340</v>
      </c>
      <c r="D60" s="6" t="s">
        <v>341</v>
      </c>
      <c r="E60" s="6">
        <v>3.0</v>
      </c>
      <c r="F60" s="5"/>
      <c r="G60" s="5"/>
      <c r="H60" s="5"/>
      <c r="I60" s="10"/>
      <c r="J60" s="10"/>
      <c r="K60" s="6" t="s">
        <v>246</v>
      </c>
      <c r="L60" s="6" t="s">
        <v>72</v>
      </c>
      <c r="M60" s="5"/>
      <c r="N60" s="6" t="s">
        <v>72</v>
      </c>
      <c r="O60" s="5"/>
      <c r="P60" s="5"/>
      <c r="Q60" s="6" t="s">
        <v>171</v>
      </c>
      <c r="R60" s="5"/>
      <c r="S60" s="6" t="s">
        <v>342</v>
      </c>
      <c r="T60" s="5"/>
      <c r="U60" s="5"/>
      <c r="V60" s="5"/>
      <c r="W60" s="5"/>
      <c r="X60" s="5"/>
      <c r="Y60" s="8">
        <f t="shared" si="1"/>
        <v>45901.32789</v>
      </c>
      <c r="Z60" s="5"/>
      <c r="AA60" s="6" t="s">
        <v>66</v>
      </c>
      <c r="AB60" s="6" t="s">
        <v>67</v>
      </c>
      <c r="AC60" s="5"/>
      <c r="AD60" s="5"/>
      <c r="AE60" s="5"/>
      <c r="AF60" s="5"/>
      <c r="AG60" s="5"/>
      <c r="AH60" s="5"/>
      <c r="AI60" s="5"/>
      <c r="AJ60" s="5"/>
      <c r="AK60" s="5"/>
      <c r="AL60" s="6" t="s">
        <v>63</v>
      </c>
      <c r="AM60" s="5"/>
      <c r="AN60" s="5"/>
      <c r="AO60" s="5"/>
      <c r="AP60" s="5"/>
      <c r="AQ60" s="5"/>
      <c r="AR60" s="5"/>
      <c r="AS60" s="5"/>
      <c r="AT60" s="5"/>
      <c r="AU60" s="5"/>
      <c r="AV60" s="5"/>
      <c r="AW60" s="5"/>
      <c r="AX60" s="5"/>
      <c r="AY60" s="5"/>
      <c r="AZ60" s="5"/>
      <c r="BA60" s="5"/>
      <c r="BB60" s="6" t="s">
        <v>69</v>
      </c>
      <c r="BC60" s="5"/>
      <c r="BD60" s="6" t="s">
        <v>69</v>
      </c>
      <c r="BE60" s="6">
        <v>1001.0</v>
      </c>
    </row>
    <row r="61" ht="15.75" customHeight="1">
      <c r="A61" s="5"/>
      <c r="B61" s="6" t="s">
        <v>343</v>
      </c>
      <c r="C61" s="6" t="s">
        <v>344</v>
      </c>
      <c r="D61" s="6" t="s">
        <v>345</v>
      </c>
      <c r="E61" s="6">
        <v>9.0</v>
      </c>
      <c r="F61" s="5"/>
      <c r="G61" s="5"/>
      <c r="H61" s="5"/>
      <c r="I61" s="10"/>
      <c r="J61" s="10"/>
      <c r="K61" s="6" t="s">
        <v>246</v>
      </c>
      <c r="L61" s="6" t="s">
        <v>72</v>
      </c>
      <c r="M61" s="5"/>
      <c r="N61" s="6" t="s">
        <v>72</v>
      </c>
      <c r="O61" s="5"/>
      <c r="P61" s="5"/>
      <c r="Q61" s="6" t="s">
        <v>63</v>
      </c>
      <c r="R61" s="5"/>
      <c r="S61" s="6" t="s">
        <v>338</v>
      </c>
      <c r="T61" s="5"/>
      <c r="U61" s="5"/>
      <c r="V61" s="5"/>
      <c r="W61" s="5"/>
      <c r="X61" s="5"/>
      <c r="Y61" s="8">
        <f t="shared" si="1"/>
        <v>45901.32789</v>
      </c>
      <c r="Z61" s="5"/>
      <c r="AA61" s="6" t="s">
        <v>66</v>
      </c>
      <c r="AB61" s="6" t="s">
        <v>67</v>
      </c>
      <c r="AC61" s="5"/>
      <c r="AD61" s="5"/>
      <c r="AE61" s="5"/>
      <c r="AF61" s="5"/>
      <c r="AG61" s="5"/>
      <c r="AH61" s="5"/>
      <c r="AI61" s="5"/>
      <c r="AJ61" s="5"/>
      <c r="AK61" s="5"/>
      <c r="AL61" s="6" t="s">
        <v>63</v>
      </c>
      <c r="AM61" s="5"/>
      <c r="AN61" s="5"/>
      <c r="AO61" s="5"/>
      <c r="AP61" s="5"/>
      <c r="AQ61" s="5"/>
      <c r="AR61" s="5"/>
      <c r="AS61" s="5"/>
      <c r="AT61" s="5"/>
      <c r="AU61" s="5"/>
      <c r="AV61" s="5"/>
      <c r="AW61" s="5"/>
      <c r="AX61" s="5"/>
      <c r="AY61" s="5"/>
      <c r="AZ61" s="5"/>
      <c r="BA61" s="5"/>
      <c r="BB61" s="6" t="s">
        <v>69</v>
      </c>
      <c r="BC61" s="5"/>
      <c r="BD61" s="6" t="s">
        <v>69</v>
      </c>
      <c r="BE61" s="6">
        <v>1001.0</v>
      </c>
    </row>
    <row r="62" ht="15.75" customHeight="1">
      <c r="A62" s="5"/>
      <c r="B62" s="6" t="s">
        <v>346</v>
      </c>
      <c r="C62" s="6" t="s">
        <v>347</v>
      </c>
      <c r="D62" s="6" t="s">
        <v>348</v>
      </c>
      <c r="E62" s="6">
        <v>6.0</v>
      </c>
      <c r="F62" s="5"/>
      <c r="G62" s="5"/>
      <c r="H62" s="6" t="s">
        <v>349</v>
      </c>
      <c r="I62" s="10"/>
      <c r="J62" s="10"/>
      <c r="K62" s="6" t="s">
        <v>246</v>
      </c>
      <c r="L62" s="6" t="s">
        <v>72</v>
      </c>
      <c r="M62" s="5"/>
      <c r="N62" s="6" t="s">
        <v>72</v>
      </c>
      <c r="O62" s="5"/>
      <c r="P62" s="5"/>
      <c r="Q62" s="6" t="s">
        <v>350</v>
      </c>
      <c r="R62" s="5"/>
      <c r="S62" s="6" t="s">
        <v>351</v>
      </c>
      <c r="T62" s="5"/>
      <c r="U62" s="5"/>
      <c r="V62" s="5"/>
      <c r="W62" s="5"/>
      <c r="X62" s="5"/>
      <c r="Y62" s="8">
        <f t="shared" si="1"/>
        <v>45901.32789</v>
      </c>
      <c r="Z62" s="5"/>
      <c r="AA62" s="6" t="s">
        <v>66</v>
      </c>
      <c r="AB62" s="6" t="s">
        <v>67</v>
      </c>
      <c r="AC62" s="5"/>
      <c r="AD62" s="5"/>
      <c r="AE62" s="5"/>
      <c r="AF62" s="5"/>
      <c r="AG62" s="5"/>
      <c r="AH62" s="5"/>
      <c r="AI62" s="5"/>
      <c r="AJ62" s="5"/>
      <c r="AK62" s="5"/>
      <c r="AL62" s="6" t="s">
        <v>63</v>
      </c>
      <c r="AM62" s="5"/>
      <c r="AN62" s="5"/>
      <c r="AO62" s="5"/>
      <c r="AP62" s="5"/>
      <c r="AQ62" s="5"/>
      <c r="AR62" s="5"/>
      <c r="AS62" s="5"/>
      <c r="AT62" s="5"/>
      <c r="AU62" s="5"/>
      <c r="AV62" s="5"/>
      <c r="AW62" s="5"/>
      <c r="AX62" s="5"/>
      <c r="AY62" s="5"/>
      <c r="AZ62" s="5"/>
      <c r="BA62" s="5"/>
      <c r="BB62" s="6" t="s">
        <v>69</v>
      </c>
      <c r="BC62" s="5"/>
      <c r="BD62" s="6" t="s">
        <v>69</v>
      </c>
      <c r="BE62" s="6">
        <v>1001.0</v>
      </c>
    </row>
    <row r="63" ht="15.75" customHeight="1">
      <c r="A63" s="5"/>
      <c r="B63" s="6" t="s">
        <v>352</v>
      </c>
      <c r="C63" s="6" t="s">
        <v>353</v>
      </c>
      <c r="D63" s="6" t="s">
        <v>354</v>
      </c>
      <c r="E63" s="6">
        <v>9.0</v>
      </c>
      <c r="F63" s="5"/>
      <c r="G63" s="5"/>
      <c r="H63" s="5"/>
      <c r="I63" s="10"/>
      <c r="J63" s="10"/>
      <c r="K63" s="6" t="s">
        <v>246</v>
      </c>
      <c r="L63" s="6" t="s">
        <v>72</v>
      </c>
      <c r="M63" s="5"/>
      <c r="N63" s="6" t="s">
        <v>72</v>
      </c>
      <c r="O63" s="5"/>
      <c r="P63" s="5"/>
      <c r="Q63" s="6" t="s">
        <v>63</v>
      </c>
      <c r="R63" s="5"/>
      <c r="S63" s="6" t="s">
        <v>355</v>
      </c>
      <c r="T63" s="5"/>
      <c r="U63" s="5"/>
      <c r="V63" s="5"/>
      <c r="W63" s="5"/>
      <c r="X63" s="5"/>
      <c r="Y63" s="8">
        <f t="shared" si="1"/>
        <v>45901.32789</v>
      </c>
      <c r="Z63" s="5"/>
      <c r="AA63" s="6" t="s">
        <v>66</v>
      </c>
      <c r="AB63" s="6" t="s">
        <v>67</v>
      </c>
      <c r="AC63" s="5"/>
      <c r="AD63" s="5"/>
      <c r="AE63" s="5"/>
      <c r="AF63" s="5"/>
      <c r="AG63" s="5"/>
      <c r="AH63" s="5"/>
      <c r="AI63" s="5"/>
      <c r="AJ63" s="5"/>
      <c r="AK63" s="5"/>
      <c r="AL63" s="6" t="s">
        <v>63</v>
      </c>
      <c r="AM63" s="5"/>
      <c r="AN63" s="5"/>
      <c r="AO63" s="5"/>
      <c r="AP63" s="5"/>
      <c r="AQ63" s="5"/>
      <c r="AR63" s="5"/>
      <c r="AS63" s="5"/>
      <c r="AT63" s="5"/>
      <c r="AU63" s="5"/>
      <c r="AV63" s="5"/>
      <c r="AW63" s="5"/>
      <c r="AX63" s="5"/>
      <c r="AY63" s="5"/>
      <c r="AZ63" s="5"/>
      <c r="BA63" s="5"/>
      <c r="BB63" s="6" t="s">
        <v>69</v>
      </c>
      <c r="BC63" s="5"/>
      <c r="BD63" s="6" t="s">
        <v>69</v>
      </c>
      <c r="BE63" s="6">
        <v>1001.0</v>
      </c>
    </row>
    <row r="64" ht="15.75" customHeight="1">
      <c r="A64" s="5"/>
      <c r="B64" s="6" t="s">
        <v>132</v>
      </c>
      <c r="C64" s="6" t="s">
        <v>356</v>
      </c>
      <c r="D64" s="5"/>
      <c r="E64" s="6">
        <v>9.0</v>
      </c>
      <c r="F64" s="5"/>
      <c r="G64" s="5"/>
      <c r="H64" s="5"/>
      <c r="I64" s="10"/>
      <c r="J64" s="10"/>
      <c r="K64" s="6" t="s">
        <v>246</v>
      </c>
      <c r="L64" s="6" t="s">
        <v>72</v>
      </c>
      <c r="M64" s="5"/>
      <c r="N64" s="6" t="s">
        <v>72</v>
      </c>
      <c r="O64" s="5"/>
      <c r="P64" s="5"/>
      <c r="Q64" s="6" t="s">
        <v>63</v>
      </c>
      <c r="R64" s="5"/>
      <c r="S64" s="6" t="s">
        <v>355</v>
      </c>
      <c r="T64" s="5"/>
      <c r="U64" s="5"/>
      <c r="V64" s="5"/>
      <c r="W64" s="5"/>
      <c r="X64" s="5"/>
      <c r="Y64" s="8">
        <f t="shared" si="1"/>
        <v>45901.32789</v>
      </c>
      <c r="Z64" s="5"/>
      <c r="AA64" s="6" t="s">
        <v>66</v>
      </c>
      <c r="AB64" s="6" t="s">
        <v>67</v>
      </c>
      <c r="AC64" s="5"/>
      <c r="AD64" s="5"/>
      <c r="AE64" s="5"/>
      <c r="AF64" s="5"/>
      <c r="AG64" s="5"/>
      <c r="AH64" s="5"/>
      <c r="AI64" s="5"/>
      <c r="AJ64" s="5"/>
      <c r="AK64" s="5"/>
      <c r="AL64" s="6" t="s">
        <v>63</v>
      </c>
      <c r="AM64" s="5"/>
      <c r="AN64" s="5"/>
      <c r="AO64" s="5"/>
      <c r="AP64" s="5"/>
      <c r="AQ64" s="5"/>
      <c r="AR64" s="5"/>
      <c r="AS64" s="5"/>
      <c r="AT64" s="5"/>
      <c r="AU64" s="5"/>
      <c r="AV64" s="5"/>
      <c r="AW64" s="5"/>
      <c r="AX64" s="5"/>
      <c r="AY64" s="5"/>
      <c r="AZ64" s="5"/>
      <c r="BA64" s="5"/>
      <c r="BB64" s="6" t="s">
        <v>69</v>
      </c>
      <c r="BC64" s="5"/>
      <c r="BD64" s="6" t="s">
        <v>69</v>
      </c>
      <c r="BE64" s="6">
        <v>1001.0</v>
      </c>
    </row>
    <row r="65" ht="15.75" customHeight="1">
      <c r="A65" s="5"/>
      <c r="B65" s="6" t="s">
        <v>357</v>
      </c>
      <c r="C65" s="6" t="s">
        <v>358</v>
      </c>
      <c r="D65" s="6" t="s">
        <v>359</v>
      </c>
      <c r="E65" s="6">
        <v>4.0</v>
      </c>
      <c r="F65" s="5"/>
      <c r="G65" s="5"/>
      <c r="H65" s="6" t="s">
        <v>72</v>
      </c>
      <c r="I65" s="10"/>
      <c r="J65" s="10"/>
      <c r="K65" s="6" t="s">
        <v>246</v>
      </c>
      <c r="L65" s="6" t="s">
        <v>72</v>
      </c>
      <c r="M65" s="5"/>
      <c r="N65" s="6" t="s">
        <v>72</v>
      </c>
      <c r="O65" s="5"/>
      <c r="P65" s="5"/>
      <c r="Q65" s="6" t="s">
        <v>63</v>
      </c>
      <c r="R65" s="5"/>
      <c r="S65" s="6" t="s">
        <v>360</v>
      </c>
      <c r="T65" s="5"/>
      <c r="U65" s="5"/>
      <c r="V65" s="5"/>
      <c r="W65" s="5"/>
      <c r="X65" s="5"/>
      <c r="Y65" s="8">
        <f t="shared" si="1"/>
        <v>45901.32789</v>
      </c>
      <c r="Z65" s="5"/>
      <c r="AA65" s="6" t="s">
        <v>66</v>
      </c>
      <c r="AB65" s="6" t="s">
        <v>67</v>
      </c>
      <c r="AC65" s="5"/>
      <c r="AD65" s="5"/>
      <c r="AE65" s="5"/>
      <c r="AF65" s="5"/>
      <c r="AG65" s="5"/>
      <c r="AH65" s="5"/>
      <c r="AI65" s="5"/>
      <c r="AJ65" s="5"/>
      <c r="AK65" s="5"/>
      <c r="AL65" s="6" t="s">
        <v>63</v>
      </c>
      <c r="AM65" s="5"/>
      <c r="AN65" s="5"/>
      <c r="AO65" s="5"/>
      <c r="AP65" s="5"/>
      <c r="AQ65" s="5"/>
      <c r="AR65" s="5"/>
      <c r="AS65" s="5"/>
      <c r="AT65" s="5"/>
      <c r="AU65" s="5"/>
      <c r="AV65" s="5"/>
      <c r="AW65" s="5"/>
      <c r="AX65" s="5"/>
      <c r="AY65" s="5"/>
      <c r="AZ65" s="5"/>
      <c r="BA65" s="5"/>
      <c r="BB65" s="6" t="s">
        <v>69</v>
      </c>
      <c r="BC65" s="5"/>
      <c r="BD65" s="6" t="s">
        <v>69</v>
      </c>
      <c r="BE65" s="6">
        <v>1001.0</v>
      </c>
    </row>
    <row r="66" ht="15.75" customHeight="1">
      <c r="A66" s="5"/>
      <c r="B66" s="6" t="s">
        <v>361</v>
      </c>
      <c r="C66" s="6" t="s">
        <v>362</v>
      </c>
      <c r="D66" s="6" t="s">
        <v>363</v>
      </c>
      <c r="E66" s="6">
        <v>9.0</v>
      </c>
      <c r="F66" s="5"/>
      <c r="G66" s="5"/>
      <c r="H66" s="5"/>
      <c r="I66" s="10"/>
      <c r="J66" s="10"/>
      <c r="K66" s="6" t="s">
        <v>246</v>
      </c>
      <c r="L66" s="6" t="s">
        <v>72</v>
      </c>
      <c r="M66" s="5"/>
      <c r="N66" s="6" t="s">
        <v>72</v>
      </c>
      <c r="O66" s="5"/>
      <c r="P66" s="5"/>
      <c r="Q66" s="6" t="s">
        <v>364</v>
      </c>
      <c r="R66" s="5"/>
      <c r="S66" s="6" t="s">
        <v>365</v>
      </c>
      <c r="T66" s="5"/>
      <c r="U66" s="5"/>
      <c r="V66" s="5"/>
      <c r="W66" s="5"/>
      <c r="X66" s="5"/>
      <c r="Y66" s="8">
        <f t="shared" si="1"/>
        <v>45901.32789</v>
      </c>
      <c r="Z66" s="5"/>
      <c r="AA66" s="6" t="s">
        <v>66</v>
      </c>
      <c r="AB66" s="6" t="s">
        <v>67</v>
      </c>
      <c r="AC66" s="5"/>
      <c r="AD66" s="5"/>
      <c r="AE66" s="5"/>
      <c r="AF66" s="5"/>
      <c r="AG66" s="5"/>
      <c r="AH66" s="5"/>
      <c r="AI66" s="5"/>
      <c r="AJ66" s="5"/>
      <c r="AK66" s="5"/>
      <c r="AL66" s="6" t="s">
        <v>63</v>
      </c>
      <c r="AM66" s="5"/>
      <c r="AN66" s="5"/>
      <c r="AO66" s="5"/>
      <c r="AP66" s="5"/>
      <c r="AQ66" s="5"/>
      <c r="AR66" s="5"/>
      <c r="AS66" s="5"/>
      <c r="AT66" s="5"/>
      <c r="AU66" s="5"/>
      <c r="AV66" s="5"/>
      <c r="AW66" s="5"/>
      <c r="AX66" s="5"/>
      <c r="AY66" s="5"/>
      <c r="AZ66" s="5"/>
      <c r="BA66" s="5"/>
      <c r="BB66" s="6" t="s">
        <v>69</v>
      </c>
      <c r="BC66" s="5"/>
      <c r="BD66" s="6" t="s">
        <v>69</v>
      </c>
      <c r="BE66" s="6">
        <v>1001.0</v>
      </c>
    </row>
    <row r="67" ht="15.75" customHeight="1">
      <c r="A67" s="5"/>
      <c r="B67" s="6" t="s">
        <v>366</v>
      </c>
      <c r="C67" s="6" t="s">
        <v>367</v>
      </c>
      <c r="D67" s="6" t="s">
        <v>179</v>
      </c>
      <c r="E67" s="6">
        <v>9.0</v>
      </c>
      <c r="F67" s="5"/>
      <c r="G67" s="5"/>
      <c r="H67" s="5"/>
      <c r="I67" s="10"/>
      <c r="J67" s="10"/>
      <c r="K67" s="6" t="s">
        <v>246</v>
      </c>
      <c r="L67" s="6" t="s">
        <v>72</v>
      </c>
      <c r="M67" s="5"/>
      <c r="N67" s="6" t="s">
        <v>72</v>
      </c>
      <c r="O67" s="5"/>
      <c r="P67" s="5"/>
      <c r="Q67" s="6" t="s">
        <v>63</v>
      </c>
      <c r="R67" s="5"/>
      <c r="S67" s="6" t="s">
        <v>368</v>
      </c>
      <c r="T67" s="5"/>
      <c r="U67" s="5"/>
      <c r="V67" s="5"/>
      <c r="W67" s="5"/>
      <c r="X67" s="5"/>
      <c r="Y67" s="8">
        <f t="shared" si="1"/>
        <v>45901.32789</v>
      </c>
      <c r="Z67" s="5"/>
      <c r="AA67" s="6" t="s">
        <v>66</v>
      </c>
      <c r="AB67" s="6" t="s">
        <v>67</v>
      </c>
      <c r="AC67" s="5"/>
      <c r="AD67" s="5"/>
      <c r="AE67" s="5"/>
      <c r="AF67" s="5"/>
      <c r="AG67" s="5"/>
      <c r="AH67" s="5"/>
      <c r="AI67" s="5"/>
      <c r="AJ67" s="5"/>
      <c r="AK67" s="5"/>
      <c r="AL67" s="6" t="s">
        <v>63</v>
      </c>
      <c r="AM67" s="5"/>
      <c r="AN67" s="5"/>
      <c r="AO67" s="5"/>
      <c r="AP67" s="5"/>
      <c r="AQ67" s="5"/>
      <c r="AR67" s="5"/>
      <c r="AS67" s="5"/>
      <c r="AT67" s="5"/>
      <c r="AU67" s="5"/>
      <c r="AV67" s="5"/>
      <c r="AW67" s="5"/>
      <c r="AX67" s="5"/>
      <c r="AY67" s="5"/>
      <c r="AZ67" s="5"/>
      <c r="BA67" s="5"/>
      <c r="BB67" s="6" t="s">
        <v>69</v>
      </c>
      <c r="BC67" s="5"/>
      <c r="BD67" s="6" t="s">
        <v>69</v>
      </c>
      <c r="BE67" s="6">
        <v>1001.0</v>
      </c>
    </row>
    <row r="68" ht="15.75" customHeight="1">
      <c r="A68" s="5"/>
      <c r="B68" s="6" t="s">
        <v>369</v>
      </c>
      <c r="C68" s="6" t="s">
        <v>243</v>
      </c>
      <c r="D68" s="6" t="s">
        <v>370</v>
      </c>
      <c r="E68" s="6">
        <v>3.0</v>
      </c>
      <c r="F68" s="5"/>
      <c r="G68" s="5"/>
      <c r="H68" s="6" t="s">
        <v>72</v>
      </c>
      <c r="I68" s="10"/>
      <c r="J68" s="10"/>
      <c r="K68" s="6" t="s">
        <v>246</v>
      </c>
      <c r="L68" s="6" t="s">
        <v>72</v>
      </c>
      <c r="M68" s="5"/>
      <c r="N68" s="6" t="s">
        <v>72</v>
      </c>
      <c r="O68" s="5"/>
      <c r="P68" s="5"/>
      <c r="Q68" s="6" t="s">
        <v>63</v>
      </c>
      <c r="R68" s="5"/>
      <c r="S68" s="6" t="s">
        <v>371</v>
      </c>
      <c r="T68" s="5"/>
      <c r="U68" s="5"/>
      <c r="V68" s="5"/>
      <c r="W68" s="5"/>
      <c r="X68" s="5"/>
      <c r="Y68" s="8">
        <f t="shared" si="1"/>
        <v>45901.32789</v>
      </c>
      <c r="Z68" s="5"/>
      <c r="AA68" s="6" t="s">
        <v>66</v>
      </c>
      <c r="AB68" s="6" t="s">
        <v>67</v>
      </c>
      <c r="AC68" s="5"/>
      <c r="AD68" s="5"/>
      <c r="AE68" s="5"/>
      <c r="AF68" s="5"/>
      <c r="AG68" s="5"/>
      <c r="AH68" s="5"/>
      <c r="AI68" s="5"/>
      <c r="AJ68" s="5"/>
      <c r="AK68" s="5"/>
      <c r="AL68" s="6" t="s">
        <v>63</v>
      </c>
      <c r="AM68" s="5"/>
      <c r="AN68" s="5"/>
      <c r="AO68" s="5"/>
      <c r="AP68" s="5"/>
      <c r="AQ68" s="5"/>
      <c r="AR68" s="5"/>
      <c r="AS68" s="5"/>
      <c r="AT68" s="5"/>
      <c r="AU68" s="5"/>
      <c r="AV68" s="5"/>
      <c r="AW68" s="5"/>
      <c r="AX68" s="5"/>
      <c r="AY68" s="5"/>
      <c r="AZ68" s="5"/>
      <c r="BA68" s="5"/>
      <c r="BB68" s="6" t="s">
        <v>69</v>
      </c>
      <c r="BC68" s="5"/>
      <c r="BD68" s="6" t="s">
        <v>69</v>
      </c>
      <c r="BE68" s="6">
        <v>1001.0</v>
      </c>
    </row>
    <row r="69" ht="15.75" customHeight="1">
      <c r="A69" s="5"/>
      <c r="B69" s="6" t="s">
        <v>372</v>
      </c>
      <c r="C69" s="6" t="s">
        <v>373</v>
      </c>
      <c r="D69" s="6" t="s">
        <v>374</v>
      </c>
      <c r="E69" s="6">
        <v>4.0</v>
      </c>
      <c r="F69" s="5"/>
      <c r="G69" s="5"/>
      <c r="H69" s="6" t="s">
        <v>72</v>
      </c>
      <c r="I69" s="10"/>
      <c r="J69" s="10"/>
      <c r="K69" s="6" t="s">
        <v>246</v>
      </c>
      <c r="L69" s="6" t="s">
        <v>72</v>
      </c>
      <c r="M69" s="5"/>
      <c r="N69" s="6" t="s">
        <v>72</v>
      </c>
      <c r="O69" s="5"/>
      <c r="P69" s="5"/>
      <c r="Q69" s="6" t="s">
        <v>63</v>
      </c>
      <c r="R69" s="5"/>
      <c r="S69" s="6" t="s">
        <v>360</v>
      </c>
      <c r="T69" s="5"/>
      <c r="U69" s="5"/>
      <c r="V69" s="5"/>
      <c r="W69" s="5"/>
      <c r="X69" s="5"/>
      <c r="Y69" s="8">
        <f t="shared" si="1"/>
        <v>45901.32789</v>
      </c>
      <c r="Z69" s="5"/>
      <c r="AA69" s="6" t="s">
        <v>66</v>
      </c>
      <c r="AB69" s="6" t="s">
        <v>67</v>
      </c>
      <c r="AC69" s="5"/>
      <c r="AD69" s="5"/>
      <c r="AE69" s="5"/>
      <c r="AF69" s="5"/>
      <c r="AG69" s="5"/>
      <c r="AH69" s="5"/>
      <c r="AI69" s="5"/>
      <c r="AJ69" s="5"/>
      <c r="AK69" s="5"/>
      <c r="AL69" s="6" t="s">
        <v>63</v>
      </c>
      <c r="AM69" s="5"/>
      <c r="AN69" s="5"/>
      <c r="AO69" s="5"/>
      <c r="AP69" s="5"/>
      <c r="AQ69" s="5"/>
      <c r="AR69" s="5"/>
      <c r="AS69" s="5"/>
      <c r="AT69" s="5"/>
      <c r="AU69" s="5"/>
      <c r="AV69" s="5"/>
      <c r="AW69" s="5"/>
      <c r="AX69" s="5"/>
      <c r="AY69" s="5"/>
      <c r="AZ69" s="5"/>
      <c r="BA69" s="5"/>
      <c r="BB69" s="6" t="s">
        <v>69</v>
      </c>
      <c r="BC69" s="5"/>
      <c r="BD69" s="6" t="s">
        <v>69</v>
      </c>
      <c r="BE69" s="6">
        <v>1001.0</v>
      </c>
    </row>
    <row r="70" ht="15.75" customHeight="1">
      <c r="A70" s="5"/>
      <c r="B70" s="6" t="s">
        <v>375</v>
      </c>
      <c r="C70" s="6" t="s">
        <v>367</v>
      </c>
      <c r="D70" s="6" t="s">
        <v>179</v>
      </c>
      <c r="E70" s="6">
        <v>9.0</v>
      </c>
      <c r="F70" s="5"/>
      <c r="G70" s="5"/>
      <c r="H70" s="5"/>
      <c r="I70" s="10"/>
      <c r="J70" s="10"/>
      <c r="K70" s="6" t="s">
        <v>246</v>
      </c>
      <c r="L70" s="6" t="s">
        <v>72</v>
      </c>
      <c r="M70" s="5"/>
      <c r="N70" s="6" t="s">
        <v>72</v>
      </c>
      <c r="O70" s="5"/>
      <c r="P70" s="5"/>
      <c r="Q70" s="6" t="s">
        <v>63</v>
      </c>
      <c r="R70" s="5"/>
      <c r="S70" s="6" t="s">
        <v>376</v>
      </c>
      <c r="T70" s="5"/>
      <c r="U70" s="5"/>
      <c r="V70" s="5"/>
      <c r="W70" s="5"/>
      <c r="X70" s="5"/>
      <c r="Y70" s="8">
        <f t="shared" si="1"/>
        <v>45901.32789</v>
      </c>
      <c r="Z70" s="5"/>
      <c r="AA70" s="6" t="s">
        <v>66</v>
      </c>
      <c r="AB70" s="6" t="s">
        <v>67</v>
      </c>
      <c r="AC70" s="5"/>
      <c r="AD70" s="5"/>
      <c r="AE70" s="5"/>
      <c r="AF70" s="5"/>
      <c r="AG70" s="5"/>
      <c r="AH70" s="5"/>
      <c r="AI70" s="5"/>
      <c r="AJ70" s="5"/>
      <c r="AK70" s="5"/>
      <c r="AL70" s="6" t="s">
        <v>63</v>
      </c>
      <c r="AM70" s="5"/>
      <c r="AN70" s="5"/>
      <c r="AO70" s="5"/>
      <c r="AP70" s="5"/>
      <c r="AQ70" s="5"/>
      <c r="AR70" s="5"/>
      <c r="AS70" s="5"/>
      <c r="AT70" s="5"/>
      <c r="AU70" s="5"/>
      <c r="AV70" s="5"/>
      <c r="AW70" s="5"/>
      <c r="AX70" s="5"/>
      <c r="AY70" s="5"/>
      <c r="AZ70" s="5"/>
      <c r="BA70" s="5"/>
      <c r="BB70" s="6" t="s">
        <v>69</v>
      </c>
      <c r="BC70" s="5"/>
      <c r="BD70" s="6" t="s">
        <v>69</v>
      </c>
      <c r="BE70" s="6">
        <v>1001.0</v>
      </c>
    </row>
    <row r="71" ht="15.75" customHeight="1">
      <c r="A71" s="5"/>
      <c r="B71" s="6" t="s">
        <v>377</v>
      </c>
      <c r="C71" s="6" t="s">
        <v>146</v>
      </c>
      <c r="D71" s="6" t="s">
        <v>378</v>
      </c>
      <c r="E71" s="6">
        <v>6.0</v>
      </c>
      <c r="F71" s="5"/>
      <c r="G71" s="5"/>
      <c r="H71" s="5"/>
      <c r="I71" s="10"/>
      <c r="J71" s="10"/>
      <c r="K71" s="6" t="s">
        <v>246</v>
      </c>
      <c r="L71" s="6" t="s">
        <v>72</v>
      </c>
      <c r="M71" s="5"/>
      <c r="N71" s="6" t="s">
        <v>72</v>
      </c>
      <c r="O71" s="5"/>
      <c r="P71" s="5"/>
      <c r="Q71" s="6" t="s">
        <v>350</v>
      </c>
      <c r="R71" s="5"/>
      <c r="S71" s="6" t="s">
        <v>379</v>
      </c>
      <c r="T71" s="5"/>
      <c r="U71" s="5"/>
      <c r="V71" s="5"/>
      <c r="W71" s="5"/>
      <c r="X71" s="5"/>
      <c r="Y71" s="8">
        <f t="shared" si="1"/>
        <v>45901.32789</v>
      </c>
      <c r="Z71" s="5"/>
      <c r="AA71" s="6" t="s">
        <v>66</v>
      </c>
      <c r="AB71" s="6" t="s">
        <v>67</v>
      </c>
      <c r="AC71" s="5"/>
      <c r="AD71" s="5"/>
      <c r="AE71" s="5"/>
      <c r="AF71" s="5"/>
      <c r="AG71" s="5"/>
      <c r="AH71" s="5"/>
      <c r="AI71" s="5"/>
      <c r="AJ71" s="5"/>
      <c r="AK71" s="5"/>
      <c r="AL71" s="6" t="s">
        <v>63</v>
      </c>
      <c r="AM71" s="5"/>
      <c r="AN71" s="5"/>
      <c r="AO71" s="5"/>
      <c r="AP71" s="5"/>
      <c r="AQ71" s="5"/>
      <c r="AR71" s="5"/>
      <c r="AS71" s="5"/>
      <c r="AT71" s="5"/>
      <c r="AU71" s="5"/>
      <c r="AV71" s="5"/>
      <c r="AW71" s="5"/>
      <c r="AX71" s="5"/>
      <c r="AY71" s="5"/>
      <c r="AZ71" s="5"/>
      <c r="BA71" s="5"/>
      <c r="BB71" s="6" t="s">
        <v>69</v>
      </c>
      <c r="BC71" s="5"/>
      <c r="BD71" s="6" t="s">
        <v>69</v>
      </c>
      <c r="BE71" s="6">
        <v>1001.0</v>
      </c>
    </row>
    <row r="72" ht="15.75" customHeight="1">
      <c r="A72" s="5"/>
      <c r="B72" s="6" t="s">
        <v>380</v>
      </c>
      <c r="C72" s="6" t="s">
        <v>381</v>
      </c>
      <c r="D72" s="6" t="s">
        <v>382</v>
      </c>
      <c r="E72" s="6">
        <v>3.0</v>
      </c>
      <c r="F72" s="5"/>
      <c r="G72" s="5"/>
      <c r="H72" s="5"/>
      <c r="I72" s="10"/>
      <c r="J72" s="10"/>
      <c r="K72" s="6" t="s">
        <v>246</v>
      </c>
      <c r="L72" s="6" t="s">
        <v>72</v>
      </c>
      <c r="M72" s="5"/>
      <c r="N72" s="6" t="s">
        <v>72</v>
      </c>
      <c r="O72" s="5"/>
      <c r="P72" s="5"/>
      <c r="Q72" s="6" t="s">
        <v>63</v>
      </c>
      <c r="R72" s="5"/>
      <c r="S72" s="6" t="s">
        <v>383</v>
      </c>
      <c r="T72" s="5"/>
      <c r="U72" s="5"/>
      <c r="V72" s="5"/>
      <c r="W72" s="5"/>
      <c r="X72" s="5"/>
      <c r="Y72" s="8">
        <f t="shared" si="1"/>
        <v>45901.32789</v>
      </c>
      <c r="Z72" s="5"/>
      <c r="AA72" s="6" t="s">
        <v>66</v>
      </c>
      <c r="AB72" s="6" t="s">
        <v>67</v>
      </c>
      <c r="AC72" s="5"/>
      <c r="AD72" s="5"/>
      <c r="AE72" s="5"/>
      <c r="AF72" s="5"/>
      <c r="AG72" s="5"/>
      <c r="AH72" s="5"/>
      <c r="AI72" s="5"/>
      <c r="AJ72" s="5"/>
      <c r="AK72" s="5"/>
      <c r="AL72" s="6" t="s">
        <v>63</v>
      </c>
      <c r="AM72" s="5"/>
      <c r="AN72" s="5"/>
      <c r="AO72" s="5"/>
      <c r="AP72" s="5"/>
      <c r="AQ72" s="5"/>
      <c r="AR72" s="5"/>
      <c r="AS72" s="5"/>
      <c r="AT72" s="5"/>
      <c r="AU72" s="5"/>
      <c r="AV72" s="5"/>
      <c r="AW72" s="5"/>
      <c r="AX72" s="5"/>
      <c r="AY72" s="5"/>
      <c r="AZ72" s="5"/>
      <c r="BA72" s="5"/>
      <c r="BB72" s="6" t="s">
        <v>69</v>
      </c>
      <c r="BC72" s="5"/>
      <c r="BD72" s="6" t="s">
        <v>69</v>
      </c>
      <c r="BE72" s="6">
        <v>1001.0</v>
      </c>
    </row>
    <row r="73" ht="15.75" customHeight="1">
      <c r="A73" s="5"/>
      <c r="B73" s="5"/>
      <c r="C73" s="5"/>
      <c r="D73" s="5"/>
      <c r="E73" s="5"/>
      <c r="F73" s="5"/>
      <c r="G73" s="5"/>
      <c r="H73" s="5"/>
      <c r="I73" s="10"/>
      <c r="J73" s="10"/>
      <c r="K73" s="6" t="s">
        <v>246</v>
      </c>
      <c r="L73" s="6" t="s">
        <v>72</v>
      </c>
      <c r="M73" s="5"/>
      <c r="N73" s="6" t="s">
        <v>72</v>
      </c>
      <c r="O73" s="5"/>
      <c r="P73" s="5"/>
      <c r="Q73" s="6" t="s">
        <v>63</v>
      </c>
      <c r="R73" s="5"/>
      <c r="S73" s="5"/>
      <c r="T73" s="5"/>
      <c r="U73" s="5"/>
      <c r="V73" s="5"/>
      <c r="W73" s="5"/>
      <c r="X73" s="5"/>
      <c r="Y73" s="8">
        <f t="shared" si="1"/>
        <v>45901.32789</v>
      </c>
      <c r="Z73" s="5"/>
      <c r="AA73" s="6" t="s">
        <v>66</v>
      </c>
      <c r="AB73" s="6" t="s">
        <v>67</v>
      </c>
      <c r="AC73" s="5"/>
      <c r="AD73" s="5"/>
      <c r="AE73" s="5"/>
      <c r="AF73" s="5"/>
      <c r="AG73" s="5"/>
      <c r="AH73" s="5"/>
      <c r="AI73" s="5"/>
      <c r="AJ73" s="5"/>
      <c r="AK73" s="5"/>
      <c r="AL73" s="6" t="s">
        <v>63</v>
      </c>
      <c r="AM73" s="5"/>
      <c r="AN73" s="5"/>
      <c r="AO73" s="5"/>
      <c r="AP73" s="5"/>
      <c r="AQ73" s="5"/>
      <c r="AR73" s="5"/>
      <c r="AS73" s="5"/>
      <c r="AT73" s="5"/>
      <c r="AU73" s="5"/>
      <c r="AV73" s="5"/>
      <c r="AW73" s="5"/>
      <c r="AX73" s="5"/>
      <c r="AY73" s="5"/>
      <c r="AZ73" s="5"/>
      <c r="BA73" s="5"/>
      <c r="BB73" s="6" t="s">
        <v>69</v>
      </c>
      <c r="BC73" s="5"/>
      <c r="BD73" s="6" t="s">
        <v>69</v>
      </c>
      <c r="BE73" s="6">
        <v>1001.0</v>
      </c>
    </row>
    <row r="74" ht="15.75" customHeight="1">
      <c r="A74" s="5"/>
      <c r="B74" s="6" t="s">
        <v>54</v>
      </c>
      <c r="C74" s="6" t="s">
        <v>55</v>
      </c>
      <c r="D74" s="5"/>
      <c r="E74" s="6">
        <v>3.0</v>
      </c>
      <c r="F74" s="5"/>
      <c r="G74" s="5"/>
      <c r="H74" s="6" t="s">
        <v>72</v>
      </c>
      <c r="I74" s="10"/>
      <c r="J74" s="10"/>
      <c r="K74" s="6" t="s">
        <v>246</v>
      </c>
      <c r="L74" s="6" t="s">
        <v>72</v>
      </c>
      <c r="M74" s="5"/>
      <c r="N74" s="6" t="s">
        <v>72</v>
      </c>
      <c r="O74" s="5"/>
      <c r="P74" s="5"/>
      <c r="Q74" s="6" t="s">
        <v>63</v>
      </c>
      <c r="R74" s="5"/>
      <c r="S74" s="6" t="s">
        <v>384</v>
      </c>
      <c r="T74" s="5"/>
      <c r="U74" s="5"/>
      <c r="V74" s="5"/>
      <c r="W74" s="5"/>
      <c r="X74" s="5"/>
      <c r="Y74" s="8">
        <f t="shared" si="1"/>
        <v>45901.32789</v>
      </c>
      <c r="Z74" s="5"/>
      <c r="AA74" s="6" t="s">
        <v>66</v>
      </c>
      <c r="AB74" s="6" t="s">
        <v>67</v>
      </c>
      <c r="AC74" s="5"/>
      <c r="AD74" s="5"/>
      <c r="AE74" s="5"/>
      <c r="AF74" s="5"/>
      <c r="AG74" s="5"/>
      <c r="AH74" s="5"/>
      <c r="AI74" s="5"/>
      <c r="AJ74" s="5"/>
      <c r="AK74" s="5"/>
      <c r="AL74" s="6" t="s">
        <v>63</v>
      </c>
      <c r="AM74" s="5"/>
      <c r="AN74" s="5"/>
      <c r="AO74" s="5"/>
      <c r="AP74" s="5"/>
      <c r="AQ74" s="5"/>
      <c r="AR74" s="5"/>
      <c r="AS74" s="5"/>
      <c r="AT74" s="5"/>
      <c r="AU74" s="5"/>
      <c r="AV74" s="5"/>
      <c r="AW74" s="5"/>
      <c r="AX74" s="5"/>
      <c r="AY74" s="5"/>
      <c r="AZ74" s="5"/>
      <c r="BA74" s="5"/>
      <c r="BB74" s="6" t="s">
        <v>69</v>
      </c>
      <c r="BC74" s="5"/>
      <c r="BD74" s="6" t="s">
        <v>69</v>
      </c>
      <c r="BE74" s="6">
        <v>1001.0</v>
      </c>
    </row>
    <row r="75" ht="15.75" customHeight="1">
      <c r="A75" s="5"/>
      <c r="B75" s="6" t="s">
        <v>385</v>
      </c>
      <c r="C75" s="6" t="s">
        <v>386</v>
      </c>
      <c r="D75" s="6" t="s">
        <v>387</v>
      </c>
      <c r="E75" s="6">
        <v>4.0</v>
      </c>
      <c r="F75" s="5"/>
      <c r="G75" s="5"/>
      <c r="H75" s="6" t="s">
        <v>72</v>
      </c>
      <c r="I75" s="10"/>
      <c r="J75" s="10"/>
      <c r="K75" s="6" t="s">
        <v>246</v>
      </c>
      <c r="L75" s="6" t="s">
        <v>72</v>
      </c>
      <c r="M75" s="5"/>
      <c r="N75" s="6" t="s">
        <v>72</v>
      </c>
      <c r="O75" s="5"/>
      <c r="P75" s="5"/>
      <c r="Q75" s="6" t="s">
        <v>63</v>
      </c>
      <c r="R75" s="5"/>
      <c r="S75" s="6" t="s">
        <v>388</v>
      </c>
      <c r="T75" s="5"/>
      <c r="U75" s="5"/>
      <c r="V75" s="5"/>
      <c r="W75" s="5"/>
      <c r="X75" s="5"/>
      <c r="Y75" s="8">
        <f t="shared" si="1"/>
        <v>45901.32789</v>
      </c>
      <c r="Z75" s="5"/>
      <c r="AA75" s="6" t="s">
        <v>66</v>
      </c>
      <c r="AB75" s="6" t="s">
        <v>67</v>
      </c>
      <c r="AC75" s="5"/>
      <c r="AD75" s="5"/>
      <c r="AE75" s="5"/>
      <c r="AF75" s="5"/>
      <c r="AG75" s="5"/>
      <c r="AH75" s="5"/>
      <c r="AI75" s="5"/>
      <c r="AJ75" s="5"/>
      <c r="AK75" s="5"/>
      <c r="AL75" s="6" t="s">
        <v>63</v>
      </c>
      <c r="AM75" s="5"/>
      <c r="AN75" s="5"/>
      <c r="AO75" s="5"/>
      <c r="AP75" s="5"/>
      <c r="AQ75" s="5"/>
      <c r="AR75" s="5"/>
      <c r="AS75" s="5"/>
      <c r="AT75" s="5"/>
      <c r="AU75" s="5"/>
      <c r="AV75" s="5"/>
      <c r="AW75" s="5"/>
      <c r="AX75" s="5"/>
      <c r="AY75" s="5"/>
      <c r="AZ75" s="5"/>
      <c r="BA75" s="5"/>
      <c r="BB75" s="6" t="s">
        <v>69</v>
      </c>
      <c r="BC75" s="5"/>
      <c r="BD75" s="6" t="s">
        <v>69</v>
      </c>
      <c r="BE75" s="6">
        <v>1001.0</v>
      </c>
    </row>
    <row r="76" ht="15.75" customHeight="1">
      <c r="A76" s="5"/>
      <c r="B76" s="6" t="s">
        <v>389</v>
      </c>
      <c r="C76" s="6" t="s">
        <v>390</v>
      </c>
      <c r="D76" s="6" t="s">
        <v>387</v>
      </c>
      <c r="E76" s="6">
        <v>3.0</v>
      </c>
      <c r="F76" s="5"/>
      <c r="G76" s="5"/>
      <c r="H76" s="6" t="s">
        <v>72</v>
      </c>
      <c r="I76" s="10"/>
      <c r="J76" s="10"/>
      <c r="K76" s="6" t="s">
        <v>246</v>
      </c>
      <c r="L76" s="6" t="s">
        <v>72</v>
      </c>
      <c r="M76" s="5"/>
      <c r="N76" s="6" t="s">
        <v>72</v>
      </c>
      <c r="O76" s="5"/>
      <c r="P76" s="5"/>
      <c r="Q76" s="6" t="s">
        <v>63</v>
      </c>
      <c r="R76" s="5"/>
      <c r="S76" s="6" t="s">
        <v>388</v>
      </c>
      <c r="T76" s="5"/>
      <c r="U76" s="5"/>
      <c r="V76" s="5"/>
      <c r="W76" s="5"/>
      <c r="X76" s="5"/>
      <c r="Y76" s="8">
        <f t="shared" si="1"/>
        <v>45901.32789</v>
      </c>
      <c r="Z76" s="5"/>
      <c r="AA76" s="6" t="s">
        <v>66</v>
      </c>
      <c r="AB76" s="6" t="s">
        <v>67</v>
      </c>
      <c r="AC76" s="5"/>
      <c r="AD76" s="5"/>
      <c r="AE76" s="5"/>
      <c r="AF76" s="5"/>
      <c r="AG76" s="5"/>
      <c r="AH76" s="5"/>
      <c r="AI76" s="5"/>
      <c r="AJ76" s="5"/>
      <c r="AK76" s="5"/>
      <c r="AL76" s="6" t="s">
        <v>63</v>
      </c>
      <c r="AM76" s="5"/>
      <c r="AN76" s="5"/>
      <c r="AO76" s="5"/>
      <c r="AP76" s="5"/>
      <c r="AQ76" s="5"/>
      <c r="AR76" s="5"/>
      <c r="AS76" s="5"/>
      <c r="AT76" s="5"/>
      <c r="AU76" s="5"/>
      <c r="AV76" s="5"/>
      <c r="AW76" s="5"/>
      <c r="AX76" s="5"/>
      <c r="AY76" s="5"/>
      <c r="AZ76" s="5"/>
      <c r="BA76" s="5"/>
      <c r="BB76" s="6" t="s">
        <v>69</v>
      </c>
      <c r="BC76" s="5"/>
      <c r="BD76" s="6" t="s">
        <v>69</v>
      </c>
      <c r="BE76" s="6">
        <v>1001.0</v>
      </c>
    </row>
    <row r="77" ht="15.75" customHeight="1">
      <c r="A77" s="5"/>
      <c r="B77" s="6" t="s">
        <v>228</v>
      </c>
      <c r="C77" s="6" t="s">
        <v>391</v>
      </c>
      <c r="D77" s="5"/>
      <c r="E77" s="6">
        <v>3.0</v>
      </c>
      <c r="F77" s="5"/>
      <c r="G77" s="5"/>
      <c r="H77" s="6" t="s">
        <v>72</v>
      </c>
      <c r="I77" s="10"/>
      <c r="J77" s="10"/>
      <c r="K77" s="6" t="s">
        <v>246</v>
      </c>
      <c r="L77" s="6" t="s">
        <v>72</v>
      </c>
      <c r="M77" s="5"/>
      <c r="N77" s="6" t="s">
        <v>72</v>
      </c>
      <c r="O77" s="5"/>
      <c r="P77" s="5"/>
      <c r="Q77" s="6" t="s">
        <v>63</v>
      </c>
      <c r="R77" s="5"/>
      <c r="S77" s="6" t="s">
        <v>392</v>
      </c>
      <c r="T77" s="5"/>
      <c r="U77" s="5"/>
      <c r="V77" s="5"/>
      <c r="W77" s="5"/>
      <c r="X77" s="5"/>
      <c r="Y77" s="8">
        <f t="shared" si="1"/>
        <v>45901.32789</v>
      </c>
      <c r="Z77" s="5"/>
      <c r="AA77" s="6" t="s">
        <v>66</v>
      </c>
      <c r="AB77" s="6" t="s">
        <v>67</v>
      </c>
      <c r="AC77" s="5"/>
      <c r="AD77" s="5"/>
      <c r="AE77" s="5"/>
      <c r="AF77" s="5"/>
      <c r="AG77" s="5"/>
      <c r="AH77" s="5"/>
      <c r="AI77" s="5"/>
      <c r="AJ77" s="5"/>
      <c r="AK77" s="5"/>
      <c r="AL77" s="6" t="s">
        <v>63</v>
      </c>
      <c r="AM77" s="5"/>
      <c r="AN77" s="5"/>
      <c r="AO77" s="5"/>
      <c r="AP77" s="5"/>
      <c r="AQ77" s="5"/>
      <c r="AR77" s="5"/>
      <c r="AS77" s="5"/>
      <c r="AT77" s="5"/>
      <c r="AU77" s="5"/>
      <c r="AV77" s="5"/>
      <c r="AW77" s="5"/>
      <c r="AX77" s="5"/>
      <c r="AY77" s="5"/>
      <c r="AZ77" s="5"/>
      <c r="BA77" s="5"/>
      <c r="BB77" s="6" t="s">
        <v>69</v>
      </c>
      <c r="BC77" s="5"/>
      <c r="BD77" s="6" t="s">
        <v>69</v>
      </c>
      <c r="BE77" s="6">
        <v>1001.0</v>
      </c>
    </row>
    <row r="78" ht="15.75" customHeight="1">
      <c r="A78" s="6">
        <v>179.0</v>
      </c>
      <c r="B78" s="6" t="s">
        <v>393</v>
      </c>
      <c r="C78" s="6" t="s">
        <v>394</v>
      </c>
      <c r="D78" s="5"/>
      <c r="E78" s="6">
        <v>9.0</v>
      </c>
      <c r="F78" s="5"/>
      <c r="G78" s="5"/>
      <c r="H78" s="6" t="s">
        <v>72</v>
      </c>
      <c r="I78" s="10"/>
      <c r="J78" s="10"/>
      <c r="K78" s="6" t="s">
        <v>246</v>
      </c>
      <c r="L78" s="6" t="s">
        <v>72</v>
      </c>
      <c r="M78" s="5"/>
      <c r="N78" s="6" t="s">
        <v>72</v>
      </c>
      <c r="O78" s="5"/>
      <c r="P78" s="5"/>
      <c r="Q78" s="6" t="s">
        <v>63</v>
      </c>
      <c r="R78" s="5"/>
      <c r="S78" s="6" t="s">
        <v>384</v>
      </c>
      <c r="T78" s="5"/>
      <c r="U78" s="5"/>
      <c r="V78" s="5"/>
      <c r="W78" s="5"/>
      <c r="X78" s="5"/>
      <c r="Y78" s="8">
        <f t="shared" si="1"/>
        <v>45901.32789</v>
      </c>
      <c r="Z78" s="5"/>
      <c r="AA78" s="6" t="s">
        <v>66</v>
      </c>
      <c r="AB78" s="6" t="s">
        <v>67</v>
      </c>
      <c r="AC78" s="5"/>
      <c r="AD78" s="5"/>
      <c r="AE78" s="5"/>
      <c r="AF78" s="5"/>
      <c r="AG78" s="5"/>
      <c r="AH78" s="5"/>
      <c r="AI78" s="5"/>
      <c r="AJ78" s="5"/>
      <c r="AK78" s="5"/>
      <c r="AL78" s="6" t="s">
        <v>63</v>
      </c>
      <c r="AM78" s="5"/>
      <c r="AN78" s="5"/>
      <c r="AO78" s="5"/>
      <c r="AP78" s="5"/>
      <c r="AQ78" s="5"/>
      <c r="AR78" s="5"/>
      <c r="AS78" s="5"/>
      <c r="AT78" s="5"/>
      <c r="AU78" s="5"/>
      <c r="AV78" s="5"/>
      <c r="AW78" s="5"/>
      <c r="AX78" s="5"/>
      <c r="AY78" s="5"/>
      <c r="AZ78" s="5"/>
      <c r="BA78" s="5"/>
      <c r="BB78" s="6" t="s">
        <v>69</v>
      </c>
      <c r="BC78" s="5"/>
      <c r="BD78" s="6" t="s">
        <v>69</v>
      </c>
      <c r="BE78" s="6">
        <v>1001.0</v>
      </c>
    </row>
    <row r="79" ht="15.75" customHeight="1">
      <c r="A79" s="5"/>
      <c r="B79" s="6" t="s">
        <v>395</v>
      </c>
      <c r="C79" s="6" t="s">
        <v>396</v>
      </c>
      <c r="D79" s="6" t="s">
        <v>397</v>
      </c>
      <c r="E79" s="6">
        <v>4.0</v>
      </c>
      <c r="F79" s="5"/>
      <c r="G79" s="5"/>
      <c r="H79" s="6" t="s">
        <v>72</v>
      </c>
      <c r="I79" s="10"/>
      <c r="J79" s="10"/>
      <c r="K79" s="6" t="s">
        <v>246</v>
      </c>
      <c r="L79" s="6" t="s">
        <v>72</v>
      </c>
      <c r="M79" s="5"/>
      <c r="N79" s="6" t="s">
        <v>72</v>
      </c>
      <c r="O79" s="5"/>
      <c r="P79" s="5"/>
      <c r="Q79" s="6" t="s">
        <v>63</v>
      </c>
      <c r="R79" s="5"/>
      <c r="S79" s="6" t="s">
        <v>398</v>
      </c>
      <c r="T79" s="5"/>
      <c r="U79" s="5"/>
      <c r="V79" s="5"/>
      <c r="W79" s="5"/>
      <c r="X79" s="5"/>
      <c r="Y79" s="8">
        <f t="shared" si="1"/>
        <v>45901.32789</v>
      </c>
      <c r="Z79" s="5"/>
      <c r="AA79" s="6" t="s">
        <v>66</v>
      </c>
      <c r="AB79" s="6" t="s">
        <v>67</v>
      </c>
      <c r="AC79" s="5"/>
      <c r="AD79" s="5"/>
      <c r="AE79" s="5"/>
      <c r="AF79" s="5"/>
      <c r="AG79" s="5"/>
      <c r="AH79" s="5"/>
      <c r="AI79" s="5"/>
      <c r="AJ79" s="5"/>
      <c r="AK79" s="5"/>
      <c r="AL79" s="6" t="s">
        <v>63</v>
      </c>
      <c r="AM79" s="5"/>
      <c r="AN79" s="5"/>
      <c r="AO79" s="5"/>
      <c r="AP79" s="5"/>
      <c r="AQ79" s="5"/>
      <c r="AR79" s="5"/>
      <c r="AS79" s="5"/>
      <c r="AT79" s="5"/>
      <c r="AU79" s="5"/>
      <c r="AV79" s="5"/>
      <c r="AW79" s="5"/>
      <c r="AX79" s="5"/>
      <c r="AY79" s="5"/>
      <c r="AZ79" s="5"/>
      <c r="BA79" s="5"/>
      <c r="BB79" s="6" t="s">
        <v>69</v>
      </c>
      <c r="BC79" s="5"/>
      <c r="BD79" s="6" t="s">
        <v>69</v>
      </c>
      <c r="BE79" s="6">
        <v>1001.0</v>
      </c>
    </row>
    <row r="80" ht="15.75" customHeight="1">
      <c r="A80" s="5"/>
      <c r="B80" s="6" t="s">
        <v>399</v>
      </c>
      <c r="C80" s="6" t="s">
        <v>400</v>
      </c>
      <c r="D80" s="6" t="s">
        <v>401</v>
      </c>
      <c r="E80" s="6">
        <v>2.0</v>
      </c>
      <c r="F80" s="5"/>
      <c r="G80" s="5"/>
      <c r="H80" s="5"/>
      <c r="I80" s="10"/>
      <c r="J80" s="10"/>
      <c r="K80" s="6" t="s">
        <v>246</v>
      </c>
      <c r="L80" s="6" t="s">
        <v>72</v>
      </c>
      <c r="M80" s="5"/>
      <c r="N80" s="6" t="s">
        <v>72</v>
      </c>
      <c r="O80" s="5"/>
      <c r="P80" s="5"/>
      <c r="Q80" s="6" t="s">
        <v>171</v>
      </c>
      <c r="R80" s="5"/>
      <c r="S80" s="6" t="s">
        <v>402</v>
      </c>
      <c r="T80" s="5"/>
      <c r="U80" s="5"/>
      <c r="V80" s="5"/>
      <c r="W80" s="5"/>
      <c r="X80" s="5"/>
      <c r="Y80" s="8">
        <f t="shared" si="1"/>
        <v>45901.32789</v>
      </c>
      <c r="Z80" s="5"/>
      <c r="AA80" s="6" t="s">
        <v>66</v>
      </c>
      <c r="AB80" s="6" t="s">
        <v>67</v>
      </c>
      <c r="AC80" s="5"/>
      <c r="AD80" s="5"/>
      <c r="AE80" s="5"/>
      <c r="AF80" s="5"/>
      <c r="AG80" s="5"/>
      <c r="AH80" s="5"/>
      <c r="AI80" s="5"/>
      <c r="AJ80" s="5"/>
      <c r="AK80" s="5"/>
      <c r="AL80" s="6" t="s">
        <v>63</v>
      </c>
      <c r="AM80" s="5"/>
      <c r="AN80" s="5"/>
      <c r="AO80" s="5"/>
      <c r="AP80" s="5"/>
      <c r="AQ80" s="5"/>
      <c r="AR80" s="5"/>
      <c r="AS80" s="5"/>
      <c r="AT80" s="5"/>
      <c r="AU80" s="5"/>
      <c r="AV80" s="5"/>
      <c r="AW80" s="5"/>
      <c r="AX80" s="5"/>
      <c r="AY80" s="5"/>
      <c r="AZ80" s="5"/>
      <c r="BA80" s="5"/>
      <c r="BB80" s="6" t="s">
        <v>69</v>
      </c>
      <c r="BC80" s="5"/>
      <c r="BD80" s="6" t="s">
        <v>69</v>
      </c>
      <c r="BE80" s="6">
        <v>1001.0</v>
      </c>
    </row>
    <row r="81" ht="15.75" customHeight="1">
      <c r="A81" s="5"/>
      <c r="B81" s="6" t="s">
        <v>205</v>
      </c>
      <c r="C81" s="6" t="s">
        <v>403</v>
      </c>
      <c r="D81" s="6" t="s">
        <v>404</v>
      </c>
      <c r="E81" s="6">
        <v>2.0</v>
      </c>
      <c r="F81" s="5"/>
      <c r="G81" s="5"/>
      <c r="H81" s="5"/>
      <c r="I81" s="10"/>
      <c r="J81" s="10"/>
      <c r="K81" s="6" t="s">
        <v>246</v>
      </c>
      <c r="L81" s="6" t="s">
        <v>72</v>
      </c>
      <c r="M81" s="5"/>
      <c r="N81" s="6" t="s">
        <v>72</v>
      </c>
      <c r="O81" s="5"/>
      <c r="P81" s="5"/>
      <c r="Q81" s="6" t="s">
        <v>171</v>
      </c>
      <c r="R81" s="5"/>
      <c r="S81" s="6" t="s">
        <v>405</v>
      </c>
      <c r="T81" s="5"/>
      <c r="U81" s="5"/>
      <c r="V81" s="5"/>
      <c r="W81" s="5"/>
      <c r="X81" s="5"/>
      <c r="Y81" s="8">
        <f t="shared" si="1"/>
        <v>45901.32789</v>
      </c>
      <c r="Z81" s="5"/>
      <c r="AA81" s="6" t="s">
        <v>66</v>
      </c>
      <c r="AB81" s="6" t="s">
        <v>67</v>
      </c>
      <c r="AC81" s="5"/>
      <c r="AD81" s="5"/>
      <c r="AE81" s="5"/>
      <c r="AF81" s="5"/>
      <c r="AG81" s="5"/>
      <c r="AH81" s="5"/>
      <c r="AI81" s="5"/>
      <c r="AJ81" s="5"/>
      <c r="AK81" s="5"/>
      <c r="AL81" s="6" t="s">
        <v>63</v>
      </c>
      <c r="AM81" s="5"/>
      <c r="AN81" s="5"/>
      <c r="AO81" s="5"/>
      <c r="AP81" s="5"/>
      <c r="AQ81" s="5"/>
      <c r="AR81" s="5"/>
      <c r="AS81" s="5"/>
      <c r="AT81" s="5"/>
      <c r="AU81" s="5"/>
      <c r="AV81" s="5"/>
      <c r="AW81" s="5"/>
      <c r="AX81" s="5"/>
      <c r="AY81" s="5"/>
      <c r="AZ81" s="5"/>
      <c r="BA81" s="5"/>
      <c r="BB81" s="6" t="s">
        <v>69</v>
      </c>
      <c r="BC81" s="5"/>
      <c r="BD81" s="6" t="s">
        <v>69</v>
      </c>
      <c r="BE81" s="6">
        <v>1001.0</v>
      </c>
    </row>
    <row r="82" ht="15.75" customHeight="1">
      <c r="A82" s="5"/>
      <c r="B82" s="6" t="s">
        <v>406</v>
      </c>
      <c r="C82" s="6" t="s">
        <v>407</v>
      </c>
      <c r="D82" s="6" t="s">
        <v>408</v>
      </c>
      <c r="E82" s="6">
        <v>6.0</v>
      </c>
      <c r="F82" s="5"/>
      <c r="G82" s="5"/>
      <c r="H82" s="5"/>
      <c r="I82" s="10"/>
      <c r="J82" s="10"/>
      <c r="K82" s="6" t="s">
        <v>246</v>
      </c>
      <c r="L82" s="6" t="s">
        <v>72</v>
      </c>
      <c r="M82" s="5"/>
      <c r="N82" s="6" t="s">
        <v>72</v>
      </c>
      <c r="O82" s="5"/>
      <c r="P82" s="5"/>
      <c r="Q82" s="6" t="s">
        <v>63</v>
      </c>
      <c r="R82" s="5"/>
      <c r="S82" s="6" t="s">
        <v>409</v>
      </c>
      <c r="T82" s="5"/>
      <c r="U82" s="5"/>
      <c r="V82" s="5"/>
      <c r="W82" s="5"/>
      <c r="X82" s="5"/>
      <c r="Y82" s="8">
        <f t="shared" si="1"/>
        <v>45901.32789</v>
      </c>
      <c r="Z82" s="5"/>
      <c r="AA82" s="6" t="s">
        <v>66</v>
      </c>
      <c r="AB82" s="6" t="s">
        <v>67</v>
      </c>
      <c r="AC82" s="5"/>
      <c r="AD82" s="5"/>
      <c r="AE82" s="5"/>
      <c r="AF82" s="5"/>
      <c r="AG82" s="5"/>
      <c r="AH82" s="5"/>
      <c r="AI82" s="5"/>
      <c r="AJ82" s="5"/>
      <c r="AK82" s="5"/>
      <c r="AL82" s="6" t="s">
        <v>63</v>
      </c>
      <c r="AM82" s="5"/>
      <c r="AN82" s="5"/>
      <c r="AO82" s="5"/>
      <c r="AP82" s="5"/>
      <c r="AQ82" s="5"/>
      <c r="AR82" s="5"/>
      <c r="AS82" s="5"/>
      <c r="AT82" s="5"/>
      <c r="AU82" s="5"/>
      <c r="AV82" s="5"/>
      <c r="AW82" s="5"/>
      <c r="AX82" s="5"/>
      <c r="AY82" s="5"/>
      <c r="AZ82" s="5"/>
      <c r="BA82" s="5"/>
      <c r="BB82" s="6" t="s">
        <v>69</v>
      </c>
      <c r="BC82" s="5"/>
      <c r="BD82" s="6" t="s">
        <v>69</v>
      </c>
      <c r="BE82" s="6">
        <v>1001.0</v>
      </c>
    </row>
    <row r="83" ht="15.75" customHeight="1">
      <c r="A83" s="5"/>
      <c r="B83" s="6" t="s">
        <v>410</v>
      </c>
      <c r="C83" s="6" t="s">
        <v>356</v>
      </c>
      <c r="D83" s="5"/>
      <c r="E83" s="6">
        <v>9.0</v>
      </c>
      <c r="F83" s="5"/>
      <c r="G83" s="5"/>
      <c r="H83" s="5"/>
      <c r="I83" s="10"/>
      <c r="J83" s="10"/>
      <c r="K83" s="6" t="s">
        <v>246</v>
      </c>
      <c r="L83" s="6" t="s">
        <v>72</v>
      </c>
      <c r="M83" s="5"/>
      <c r="N83" s="6" t="s">
        <v>72</v>
      </c>
      <c r="O83" s="5"/>
      <c r="P83" s="5"/>
      <c r="Q83" s="6" t="s">
        <v>63</v>
      </c>
      <c r="R83" s="5"/>
      <c r="S83" s="6" t="s">
        <v>191</v>
      </c>
      <c r="T83" s="5"/>
      <c r="U83" s="5"/>
      <c r="V83" s="5"/>
      <c r="W83" s="5"/>
      <c r="X83" s="5"/>
      <c r="Y83" s="8">
        <f t="shared" si="1"/>
        <v>45901.32789</v>
      </c>
      <c r="Z83" s="5"/>
      <c r="AA83" s="6" t="s">
        <v>66</v>
      </c>
      <c r="AB83" s="6" t="s">
        <v>67</v>
      </c>
      <c r="AC83" s="5"/>
      <c r="AD83" s="5"/>
      <c r="AE83" s="5"/>
      <c r="AF83" s="5"/>
      <c r="AG83" s="5"/>
      <c r="AH83" s="5"/>
      <c r="AI83" s="5"/>
      <c r="AJ83" s="5"/>
      <c r="AK83" s="5"/>
      <c r="AL83" s="6" t="s">
        <v>63</v>
      </c>
      <c r="AM83" s="5"/>
      <c r="AN83" s="5"/>
      <c r="AO83" s="5"/>
      <c r="AP83" s="5"/>
      <c r="AQ83" s="5"/>
      <c r="AR83" s="5"/>
      <c r="AS83" s="5"/>
      <c r="AT83" s="5"/>
      <c r="AU83" s="5"/>
      <c r="AV83" s="5"/>
      <c r="AW83" s="5"/>
      <c r="AX83" s="5"/>
      <c r="AY83" s="5"/>
      <c r="AZ83" s="5"/>
      <c r="BA83" s="5"/>
      <c r="BB83" s="6" t="s">
        <v>69</v>
      </c>
      <c r="BC83" s="5"/>
      <c r="BD83" s="6" t="s">
        <v>69</v>
      </c>
      <c r="BE83" s="6">
        <v>1001.0</v>
      </c>
    </row>
    <row r="84" ht="15.75" customHeight="1">
      <c r="A84" s="5"/>
      <c r="B84" s="6" t="s">
        <v>411</v>
      </c>
      <c r="C84" s="6" t="s">
        <v>412</v>
      </c>
      <c r="D84" s="6" t="s">
        <v>413</v>
      </c>
      <c r="E84" s="6">
        <v>4.0</v>
      </c>
      <c r="F84" s="5"/>
      <c r="G84" s="5"/>
      <c r="H84" s="6" t="s">
        <v>72</v>
      </c>
      <c r="I84" s="10"/>
      <c r="J84" s="10"/>
      <c r="K84" s="6" t="s">
        <v>246</v>
      </c>
      <c r="L84" s="6" t="s">
        <v>72</v>
      </c>
      <c r="M84" s="5"/>
      <c r="N84" s="5"/>
      <c r="O84" s="5"/>
      <c r="P84" s="5"/>
      <c r="Q84" s="6" t="s">
        <v>414</v>
      </c>
      <c r="R84" s="5"/>
      <c r="S84" s="6" t="s">
        <v>415</v>
      </c>
      <c r="T84" s="5"/>
      <c r="U84" s="5"/>
      <c r="V84" s="5"/>
      <c r="W84" s="5"/>
      <c r="X84" s="5"/>
      <c r="Y84" s="8">
        <f t="shared" si="1"/>
        <v>45901.32789</v>
      </c>
      <c r="Z84" s="5"/>
      <c r="AA84" s="6" t="s">
        <v>66</v>
      </c>
      <c r="AB84" s="6" t="s">
        <v>67</v>
      </c>
      <c r="AC84" s="5"/>
      <c r="AD84" s="5"/>
      <c r="AE84" s="5"/>
      <c r="AF84" s="5"/>
      <c r="AG84" s="5"/>
      <c r="AH84" s="5"/>
      <c r="AI84" s="5"/>
      <c r="AJ84" s="5"/>
      <c r="AK84" s="5"/>
      <c r="AL84" s="6" t="s">
        <v>63</v>
      </c>
      <c r="AM84" s="5"/>
      <c r="AN84" s="5"/>
      <c r="AO84" s="5"/>
      <c r="AP84" s="5"/>
      <c r="AQ84" s="5"/>
      <c r="AR84" s="5"/>
      <c r="AS84" s="5"/>
      <c r="AT84" s="5"/>
      <c r="AU84" s="5"/>
      <c r="AV84" s="5"/>
      <c r="AW84" s="5"/>
      <c r="AX84" s="5"/>
      <c r="AY84" s="5"/>
      <c r="AZ84" s="5"/>
      <c r="BA84" s="5"/>
      <c r="BB84" s="6" t="s">
        <v>69</v>
      </c>
      <c r="BC84" s="5"/>
      <c r="BD84" s="6" t="s">
        <v>69</v>
      </c>
      <c r="BE84" s="6">
        <v>1001.0</v>
      </c>
    </row>
    <row r="85" ht="15.75" customHeight="1">
      <c r="A85" s="5"/>
      <c r="B85" s="6" t="s">
        <v>393</v>
      </c>
      <c r="C85" s="6" t="s">
        <v>416</v>
      </c>
      <c r="D85" s="5"/>
      <c r="E85" s="6">
        <v>9.0</v>
      </c>
      <c r="F85" s="5"/>
      <c r="G85" s="5"/>
      <c r="H85" s="5"/>
      <c r="I85" s="10"/>
      <c r="J85" s="10"/>
      <c r="K85" s="6" t="s">
        <v>246</v>
      </c>
      <c r="L85" s="6" t="s">
        <v>72</v>
      </c>
      <c r="M85" s="5"/>
      <c r="N85" s="5"/>
      <c r="O85" s="5"/>
      <c r="P85" s="5"/>
      <c r="Q85" s="6" t="s">
        <v>63</v>
      </c>
      <c r="R85" s="5"/>
      <c r="S85" s="6" t="s">
        <v>417</v>
      </c>
      <c r="T85" s="5"/>
      <c r="U85" s="5"/>
      <c r="V85" s="5"/>
      <c r="W85" s="5"/>
      <c r="X85" s="5"/>
      <c r="Y85" s="8">
        <f t="shared" si="1"/>
        <v>45901.32789</v>
      </c>
      <c r="Z85" s="5"/>
      <c r="AA85" s="6" t="s">
        <v>66</v>
      </c>
      <c r="AB85" s="6" t="s">
        <v>67</v>
      </c>
      <c r="AC85" s="5"/>
      <c r="AD85" s="5"/>
      <c r="AE85" s="5"/>
      <c r="AF85" s="5"/>
      <c r="AG85" s="5"/>
      <c r="AH85" s="5"/>
      <c r="AI85" s="5"/>
      <c r="AJ85" s="5"/>
      <c r="AK85" s="5"/>
      <c r="AL85" s="6" t="s">
        <v>63</v>
      </c>
      <c r="AM85" s="5"/>
      <c r="AN85" s="5"/>
      <c r="AO85" s="5"/>
      <c r="AP85" s="5"/>
      <c r="AQ85" s="5"/>
      <c r="AR85" s="5"/>
      <c r="AS85" s="5"/>
      <c r="AT85" s="5"/>
      <c r="AU85" s="5"/>
      <c r="AV85" s="5"/>
      <c r="AW85" s="5"/>
      <c r="AX85" s="5"/>
      <c r="AY85" s="5"/>
      <c r="AZ85" s="5"/>
      <c r="BA85" s="5"/>
      <c r="BB85" s="6" t="s">
        <v>69</v>
      </c>
      <c r="BC85" s="5"/>
      <c r="BD85" s="6" t="s">
        <v>69</v>
      </c>
      <c r="BE85" s="6">
        <v>1001.0</v>
      </c>
    </row>
    <row r="86" ht="15.75" customHeight="1">
      <c r="A86" s="5"/>
      <c r="B86" s="6" t="s">
        <v>418</v>
      </c>
      <c r="C86" s="6" t="s">
        <v>419</v>
      </c>
      <c r="D86" s="6" t="s">
        <v>420</v>
      </c>
      <c r="E86" s="6">
        <v>8.0</v>
      </c>
      <c r="F86" s="5"/>
      <c r="G86" s="5"/>
      <c r="H86" s="6" t="s">
        <v>111</v>
      </c>
      <c r="I86" s="10"/>
      <c r="J86" s="10"/>
      <c r="K86" s="6" t="s">
        <v>246</v>
      </c>
      <c r="L86" s="6" t="s">
        <v>72</v>
      </c>
      <c r="M86" s="5"/>
      <c r="N86" s="6" t="s">
        <v>72</v>
      </c>
      <c r="O86" s="5"/>
      <c r="P86" s="5"/>
      <c r="Q86" s="6" t="s">
        <v>63</v>
      </c>
      <c r="R86" s="5"/>
      <c r="S86" s="6" t="s">
        <v>421</v>
      </c>
      <c r="T86" s="5"/>
      <c r="U86" s="5"/>
      <c r="V86" s="5"/>
      <c r="W86" s="5"/>
      <c r="X86" s="5"/>
      <c r="Y86" s="8">
        <f t="shared" si="1"/>
        <v>45901.32789</v>
      </c>
      <c r="Z86" s="5"/>
      <c r="AA86" s="6" t="s">
        <v>66</v>
      </c>
      <c r="AB86" s="6" t="s">
        <v>67</v>
      </c>
      <c r="AC86" s="5"/>
      <c r="AD86" s="5"/>
      <c r="AE86" s="5"/>
      <c r="AF86" s="5"/>
      <c r="AG86" s="5"/>
      <c r="AH86" s="5"/>
      <c r="AI86" s="5"/>
      <c r="AJ86" s="5"/>
      <c r="AK86" s="5"/>
      <c r="AL86" s="6" t="s">
        <v>63</v>
      </c>
      <c r="AM86" s="5"/>
      <c r="AN86" s="5"/>
      <c r="AO86" s="5"/>
      <c r="AP86" s="6" t="s">
        <v>422</v>
      </c>
      <c r="AQ86" s="5"/>
      <c r="AR86" s="5"/>
      <c r="AS86" s="5"/>
      <c r="AT86" s="5"/>
      <c r="AU86" s="5"/>
      <c r="AV86" s="5"/>
      <c r="AW86" s="5"/>
      <c r="AX86" s="5"/>
      <c r="AY86" s="5"/>
      <c r="AZ86" s="5"/>
      <c r="BA86" s="5"/>
      <c r="BB86" s="6" t="s">
        <v>69</v>
      </c>
      <c r="BC86" s="5"/>
      <c r="BD86" s="6" t="s">
        <v>69</v>
      </c>
      <c r="BE86" s="6">
        <v>1001.0</v>
      </c>
    </row>
    <row r="87" ht="15.75" customHeight="1">
      <c r="A87" s="5"/>
      <c r="B87" s="6" t="s">
        <v>423</v>
      </c>
      <c r="C87" s="6" t="s">
        <v>424</v>
      </c>
      <c r="D87" s="6" t="s">
        <v>425</v>
      </c>
      <c r="E87" s="6">
        <v>6.0</v>
      </c>
      <c r="F87" s="5"/>
      <c r="G87" s="5"/>
      <c r="H87" s="6" t="s">
        <v>426</v>
      </c>
      <c r="I87" s="10"/>
      <c r="J87" s="10"/>
      <c r="K87" s="6" t="s">
        <v>246</v>
      </c>
      <c r="L87" s="6" t="s">
        <v>72</v>
      </c>
      <c r="M87" s="5"/>
      <c r="N87" s="5"/>
      <c r="O87" s="5"/>
      <c r="P87" s="5"/>
      <c r="Q87" s="6" t="s">
        <v>171</v>
      </c>
      <c r="R87" s="5"/>
      <c r="S87" s="6" t="s">
        <v>351</v>
      </c>
      <c r="T87" s="5"/>
      <c r="U87" s="5"/>
      <c r="V87" s="5"/>
      <c r="W87" s="5"/>
      <c r="X87" s="5"/>
      <c r="Y87" s="8">
        <f t="shared" si="1"/>
        <v>45901.32789</v>
      </c>
      <c r="Z87" s="5"/>
      <c r="AA87" s="6" t="s">
        <v>66</v>
      </c>
      <c r="AB87" s="6" t="s">
        <v>67</v>
      </c>
      <c r="AC87" s="5"/>
      <c r="AD87" s="5"/>
      <c r="AE87" s="5"/>
      <c r="AF87" s="5"/>
      <c r="AG87" s="5"/>
      <c r="AH87" s="5"/>
      <c r="AI87" s="5"/>
      <c r="AJ87" s="5"/>
      <c r="AK87" s="5"/>
      <c r="AL87" s="6" t="s">
        <v>63</v>
      </c>
      <c r="AM87" s="5"/>
      <c r="AN87" s="5"/>
      <c r="AO87" s="5"/>
      <c r="AP87" s="5"/>
      <c r="AQ87" s="5"/>
      <c r="AR87" s="5"/>
      <c r="AS87" s="5"/>
      <c r="AT87" s="5"/>
      <c r="AU87" s="5"/>
      <c r="AV87" s="5"/>
      <c r="AW87" s="5"/>
      <c r="AX87" s="5"/>
      <c r="AY87" s="5"/>
      <c r="AZ87" s="5"/>
      <c r="BA87" s="5"/>
      <c r="BB87" s="6" t="s">
        <v>69</v>
      </c>
      <c r="BC87" s="5"/>
      <c r="BD87" s="6" t="s">
        <v>69</v>
      </c>
      <c r="BE87" s="6">
        <v>1001.0</v>
      </c>
    </row>
    <row r="88" ht="15.75" customHeight="1">
      <c r="A88" s="5"/>
      <c r="B88" s="6" t="s">
        <v>427</v>
      </c>
      <c r="C88" s="6" t="s">
        <v>428</v>
      </c>
      <c r="D88" s="5"/>
      <c r="E88" s="6">
        <v>9.0</v>
      </c>
      <c r="F88" s="5"/>
      <c r="G88" s="5"/>
      <c r="H88" s="5"/>
      <c r="I88" s="10"/>
      <c r="J88" s="10"/>
      <c r="K88" s="6" t="s">
        <v>246</v>
      </c>
      <c r="L88" s="6" t="s">
        <v>72</v>
      </c>
      <c r="M88" s="5"/>
      <c r="N88" s="5"/>
      <c r="O88" s="5"/>
      <c r="P88" s="5"/>
      <c r="Q88" s="6" t="s">
        <v>63</v>
      </c>
      <c r="R88" s="5"/>
      <c r="S88" s="6" t="s">
        <v>429</v>
      </c>
      <c r="T88" s="5"/>
      <c r="U88" s="5"/>
      <c r="V88" s="5"/>
      <c r="W88" s="5"/>
      <c r="X88" s="5"/>
      <c r="Y88" s="8">
        <f t="shared" si="1"/>
        <v>45901.32789</v>
      </c>
      <c r="Z88" s="5"/>
      <c r="AA88" s="6" t="s">
        <v>66</v>
      </c>
      <c r="AB88" s="6" t="s">
        <v>67</v>
      </c>
      <c r="AC88" s="5"/>
      <c r="AD88" s="5"/>
      <c r="AE88" s="5"/>
      <c r="AF88" s="5"/>
      <c r="AG88" s="5"/>
      <c r="AH88" s="5"/>
      <c r="AI88" s="5"/>
      <c r="AJ88" s="5"/>
      <c r="AK88" s="5"/>
      <c r="AL88" s="6" t="s">
        <v>63</v>
      </c>
      <c r="AM88" s="5"/>
      <c r="AN88" s="5"/>
      <c r="AO88" s="5"/>
      <c r="AP88" s="5"/>
      <c r="AQ88" s="5"/>
      <c r="AR88" s="5"/>
      <c r="AS88" s="5"/>
      <c r="AT88" s="5"/>
      <c r="AU88" s="5"/>
      <c r="AV88" s="5"/>
      <c r="AW88" s="5"/>
      <c r="AX88" s="5"/>
      <c r="AY88" s="5"/>
      <c r="AZ88" s="5"/>
      <c r="BA88" s="5"/>
      <c r="BB88" s="6" t="s">
        <v>69</v>
      </c>
      <c r="BC88" s="5"/>
      <c r="BD88" s="6" t="s">
        <v>69</v>
      </c>
      <c r="BE88" s="6">
        <v>1001.0</v>
      </c>
    </row>
    <row r="89" ht="15.75" customHeight="1">
      <c r="A89" s="5"/>
      <c r="B89" s="6" t="s">
        <v>430</v>
      </c>
      <c r="C89" s="6" t="s">
        <v>431</v>
      </c>
      <c r="D89" s="6" t="s">
        <v>432</v>
      </c>
      <c r="E89" s="6">
        <v>4.0</v>
      </c>
      <c r="F89" s="5"/>
      <c r="G89" s="5"/>
      <c r="H89" s="5"/>
      <c r="I89" s="10"/>
      <c r="J89" s="10"/>
      <c r="K89" s="6" t="s">
        <v>246</v>
      </c>
      <c r="L89" s="6" t="s">
        <v>72</v>
      </c>
      <c r="M89" s="5"/>
      <c r="N89" s="6" t="s">
        <v>72</v>
      </c>
      <c r="O89" s="5"/>
      <c r="P89" s="5"/>
      <c r="Q89" s="6" t="s">
        <v>171</v>
      </c>
      <c r="R89" s="5"/>
      <c r="S89" s="6" t="s">
        <v>433</v>
      </c>
      <c r="T89" s="5"/>
      <c r="U89" s="5"/>
      <c r="V89" s="5"/>
      <c r="W89" s="5"/>
      <c r="X89" s="5"/>
      <c r="Y89" s="8">
        <f t="shared" si="1"/>
        <v>45901.32789</v>
      </c>
      <c r="Z89" s="5"/>
      <c r="AA89" s="6" t="s">
        <v>66</v>
      </c>
      <c r="AB89" s="6" t="s">
        <v>67</v>
      </c>
      <c r="AC89" s="5"/>
      <c r="AD89" s="5"/>
      <c r="AE89" s="5"/>
      <c r="AF89" s="5"/>
      <c r="AG89" s="5"/>
      <c r="AH89" s="5"/>
      <c r="AI89" s="5"/>
      <c r="AJ89" s="5"/>
      <c r="AK89" s="5"/>
      <c r="AL89" s="6" t="s">
        <v>63</v>
      </c>
      <c r="AM89" s="5"/>
      <c r="AN89" s="5"/>
      <c r="AO89" s="5"/>
      <c r="AP89" s="5"/>
      <c r="AQ89" s="5"/>
      <c r="AR89" s="5"/>
      <c r="AS89" s="5"/>
      <c r="AT89" s="5"/>
      <c r="AU89" s="5"/>
      <c r="AV89" s="5"/>
      <c r="AW89" s="5"/>
      <c r="AX89" s="5"/>
      <c r="AY89" s="5"/>
      <c r="AZ89" s="5"/>
      <c r="BA89" s="5"/>
      <c r="BB89" s="6" t="s">
        <v>69</v>
      </c>
      <c r="BC89" s="5"/>
      <c r="BD89" s="6" t="s">
        <v>69</v>
      </c>
      <c r="BE89" s="6">
        <v>1001.0</v>
      </c>
    </row>
    <row r="90" ht="15.75" customHeight="1">
      <c r="A90" s="5"/>
      <c r="B90" s="6" t="s">
        <v>115</v>
      </c>
      <c r="C90" s="6" t="s">
        <v>381</v>
      </c>
      <c r="D90" s="6" t="s">
        <v>434</v>
      </c>
      <c r="E90" s="6">
        <v>4.0</v>
      </c>
      <c r="F90" s="5"/>
      <c r="G90" s="5"/>
      <c r="H90" s="6" t="s">
        <v>72</v>
      </c>
      <c r="I90" s="10"/>
      <c r="J90" s="10"/>
      <c r="K90" s="6" t="s">
        <v>246</v>
      </c>
      <c r="L90" s="6" t="s">
        <v>72</v>
      </c>
      <c r="M90" s="5"/>
      <c r="N90" s="5"/>
      <c r="O90" s="5"/>
      <c r="P90" s="5"/>
      <c r="Q90" s="6" t="s">
        <v>63</v>
      </c>
      <c r="R90" s="5"/>
      <c r="S90" s="6" t="s">
        <v>435</v>
      </c>
      <c r="T90" s="5"/>
      <c r="U90" s="5"/>
      <c r="V90" s="5"/>
      <c r="W90" s="5"/>
      <c r="X90" s="5"/>
      <c r="Y90" s="8">
        <f t="shared" si="1"/>
        <v>45901.32789</v>
      </c>
      <c r="Z90" s="5"/>
      <c r="AA90" s="6" t="s">
        <v>66</v>
      </c>
      <c r="AB90" s="6" t="s">
        <v>67</v>
      </c>
      <c r="AC90" s="5"/>
      <c r="AD90" s="5"/>
      <c r="AE90" s="5"/>
      <c r="AF90" s="5"/>
      <c r="AG90" s="5"/>
      <c r="AH90" s="5"/>
      <c r="AI90" s="5"/>
      <c r="AJ90" s="5"/>
      <c r="AK90" s="5"/>
      <c r="AL90" s="6" t="s">
        <v>63</v>
      </c>
      <c r="AM90" s="5"/>
      <c r="AN90" s="5"/>
      <c r="AO90" s="5"/>
      <c r="AP90" s="5"/>
      <c r="AQ90" s="5"/>
      <c r="AR90" s="5"/>
      <c r="AS90" s="5"/>
      <c r="AT90" s="5"/>
      <c r="AU90" s="5"/>
      <c r="AV90" s="5"/>
      <c r="AW90" s="5"/>
      <c r="AX90" s="5"/>
      <c r="AY90" s="5"/>
      <c r="AZ90" s="5"/>
      <c r="BA90" s="5"/>
      <c r="BB90" s="6" t="s">
        <v>69</v>
      </c>
      <c r="BC90" s="5"/>
      <c r="BD90" s="6" t="s">
        <v>69</v>
      </c>
      <c r="BE90" s="6">
        <v>1001.0</v>
      </c>
    </row>
    <row r="91" ht="15.75" customHeight="1">
      <c r="A91" s="5"/>
      <c r="B91" s="6" t="s">
        <v>436</v>
      </c>
      <c r="C91" s="6" t="s">
        <v>319</v>
      </c>
      <c r="D91" s="6" t="s">
        <v>437</v>
      </c>
      <c r="E91" s="6">
        <v>2.0</v>
      </c>
      <c r="F91" s="5"/>
      <c r="G91" s="5"/>
      <c r="H91" s="6" t="s">
        <v>72</v>
      </c>
      <c r="I91" s="10"/>
      <c r="J91" s="10"/>
      <c r="K91" s="6" t="s">
        <v>246</v>
      </c>
      <c r="L91" s="6" t="s">
        <v>72</v>
      </c>
      <c r="M91" s="5"/>
      <c r="N91" s="6" t="s">
        <v>72</v>
      </c>
      <c r="O91" s="5"/>
      <c r="P91" s="5"/>
      <c r="Q91" s="6" t="s">
        <v>171</v>
      </c>
      <c r="R91" s="5"/>
      <c r="S91" s="6" t="s">
        <v>438</v>
      </c>
      <c r="T91" s="5"/>
      <c r="U91" s="5"/>
      <c r="V91" s="5"/>
      <c r="W91" s="5"/>
      <c r="X91" s="5"/>
      <c r="Y91" s="8">
        <f t="shared" si="1"/>
        <v>45901.32789</v>
      </c>
      <c r="Z91" s="5"/>
      <c r="AA91" s="6" t="s">
        <v>66</v>
      </c>
      <c r="AB91" s="6" t="s">
        <v>67</v>
      </c>
      <c r="AC91" s="5"/>
      <c r="AD91" s="5"/>
      <c r="AE91" s="5"/>
      <c r="AF91" s="5"/>
      <c r="AG91" s="5"/>
      <c r="AH91" s="5"/>
      <c r="AI91" s="5"/>
      <c r="AJ91" s="5"/>
      <c r="AK91" s="5"/>
      <c r="AL91" s="6" t="s">
        <v>63</v>
      </c>
      <c r="AM91" s="5"/>
      <c r="AN91" s="5"/>
      <c r="AO91" s="5"/>
      <c r="AP91" s="5"/>
      <c r="AQ91" s="5"/>
      <c r="AR91" s="5"/>
      <c r="AS91" s="5"/>
      <c r="AT91" s="5"/>
      <c r="AU91" s="5"/>
      <c r="AV91" s="5"/>
      <c r="AW91" s="5"/>
      <c r="AX91" s="5"/>
      <c r="AY91" s="5"/>
      <c r="AZ91" s="5"/>
      <c r="BA91" s="5"/>
      <c r="BB91" s="6" t="s">
        <v>69</v>
      </c>
      <c r="BC91" s="5"/>
      <c r="BD91" s="6" t="s">
        <v>69</v>
      </c>
      <c r="BE91" s="6">
        <v>1001.0</v>
      </c>
    </row>
    <row r="92" ht="15.75" customHeight="1">
      <c r="A92" s="5"/>
      <c r="B92" s="6" t="s">
        <v>439</v>
      </c>
      <c r="C92" s="6" t="s">
        <v>440</v>
      </c>
      <c r="D92" s="6" t="s">
        <v>441</v>
      </c>
      <c r="E92" s="6">
        <v>8.0</v>
      </c>
      <c r="F92" s="5"/>
      <c r="G92" s="5"/>
      <c r="H92" s="5"/>
      <c r="I92" s="10"/>
      <c r="J92" s="10"/>
      <c r="K92" s="6" t="s">
        <v>246</v>
      </c>
      <c r="L92" s="6" t="s">
        <v>72</v>
      </c>
      <c r="M92" s="5"/>
      <c r="N92" s="5"/>
      <c r="O92" s="5"/>
      <c r="P92" s="5"/>
      <c r="Q92" s="6" t="s">
        <v>63</v>
      </c>
      <c r="R92" s="5"/>
      <c r="S92" s="6" t="s">
        <v>442</v>
      </c>
      <c r="T92" s="5"/>
      <c r="U92" s="5"/>
      <c r="V92" s="5"/>
      <c r="W92" s="5"/>
      <c r="X92" s="5"/>
      <c r="Y92" s="8">
        <f t="shared" si="1"/>
        <v>45901.32789</v>
      </c>
      <c r="Z92" s="5"/>
      <c r="AA92" s="6" t="s">
        <v>66</v>
      </c>
      <c r="AB92" s="6" t="s">
        <v>67</v>
      </c>
      <c r="AC92" s="5"/>
      <c r="AD92" s="5"/>
      <c r="AE92" s="5"/>
      <c r="AF92" s="5"/>
      <c r="AG92" s="5"/>
      <c r="AH92" s="5"/>
      <c r="AI92" s="5"/>
      <c r="AJ92" s="5"/>
      <c r="AK92" s="5"/>
      <c r="AL92" s="6" t="s">
        <v>63</v>
      </c>
      <c r="AM92" s="5"/>
      <c r="AN92" s="5"/>
      <c r="AO92" s="5"/>
      <c r="AP92" s="5"/>
      <c r="AQ92" s="5"/>
      <c r="AR92" s="5"/>
      <c r="AS92" s="5"/>
      <c r="AT92" s="5"/>
      <c r="AU92" s="5"/>
      <c r="AV92" s="5"/>
      <c r="AW92" s="5"/>
      <c r="AX92" s="5"/>
      <c r="AY92" s="5"/>
      <c r="AZ92" s="5"/>
      <c r="BA92" s="5"/>
      <c r="BB92" s="6" t="s">
        <v>69</v>
      </c>
      <c r="BC92" s="5"/>
      <c r="BD92" s="6" t="s">
        <v>69</v>
      </c>
      <c r="BE92" s="6">
        <v>1001.0</v>
      </c>
    </row>
    <row r="93" ht="15.75" customHeight="1">
      <c r="A93" s="5"/>
      <c r="B93" s="6" t="s">
        <v>443</v>
      </c>
      <c r="C93" s="6" t="s">
        <v>444</v>
      </c>
      <c r="D93" s="6" t="s">
        <v>445</v>
      </c>
      <c r="E93" s="6">
        <v>2.0</v>
      </c>
      <c r="F93" s="5"/>
      <c r="G93" s="5"/>
      <c r="H93" s="6" t="s">
        <v>72</v>
      </c>
      <c r="I93" s="10"/>
      <c r="J93" s="10"/>
      <c r="K93" s="6" t="s">
        <v>246</v>
      </c>
      <c r="L93" s="6" t="s">
        <v>72</v>
      </c>
      <c r="M93" s="5"/>
      <c r="N93" s="6" t="s">
        <v>72</v>
      </c>
      <c r="O93" s="5"/>
      <c r="P93" s="5"/>
      <c r="Q93" s="6" t="s">
        <v>63</v>
      </c>
      <c r="R93" s="5"/>
      <c r="S93" s="6" t="s">
        <v>446</v>
      </c>
      <c r="T93" s="5"/>
      <c r="U93" s="5"/>
      <c r="V93" s="5"/>
      <c r="W93" s="5"/>
      <c r="X93" s="5"/>
      <c r="Y93" s="8">
        <f t="shared" si="1"/>
        <v>45901.32789</v>
      </c>
      <c r="Z93" s="5"/>
      <c r="AA93" s="6" t="s">
        <v>66</v>
      </c>
      <c r="AB93" s="6" t="s">
        <v>67</v>
      </c>
      <c r="AC93" s="5"/>
      <c r="AD93" s="5"/>
      <c r="AE93" s="5"/>
      <c r="AF93" s="5"/>
      <c r="AG93" s="5"/>
      <c r="AH93" s="5"/>
      <c r="AI93" s="5"/>
      <c r="AJ93" s="5"/>
      <c r="AK93" s="5"/>
      <c r="AL93" s="6" t="s">
        <v>63</v>
      </c>
      <c r="AM93" s="5"/>
      <c r="AN93" s="5"/>
      <c r="AO93" s="5"/>
      <c r="AP93" s="5"/>
      <c r="AQ93" s="5"/>
      <c r="AR93" s="5"/>
      <c r="AS93" s="5"/>
      <c r="AT93" s="5"/>
      <c r="AU93" s="5"/>
      <c r="AV93" s="5"/>
      <c r="AW93" s="5"/>
      <c r="AX93" s="5"/>
      <c r="AY93" s="5"/>
      <c r="AZ93" s="5"/>
      <c r="BA93" s="5"/>
      <c r="BB93" s="6" t="s">
        <v>69</v>
      </c>
      <c r="BC93" s="5"/>
      <c r="BD93" s="6" t="s">
        <v>69</v>
      </c>
      <c r="BE93" s="6">
        <v>1001.0</v>
      </c>
    </row>
    <row r="94" ht="15.75" customHeight="1">
      <c r="A94" s="5"/>
      <c r="B94" s="6" t="s">
        <v>447</v>
      </c>
      <c r="C94" s="6" t="s">
        <v>403</v>
      </c>
      <c r="D94" s="6" t="s">
        <v>448</v>
      </c>
      <c r="E94" s="6">
        <v>6.0</v>
      </c>
      <c r="F94" s="5"/>
      <c r="G94" s="5"/>
      <c r="H94" s="5"/>
      <c r="I94" s="10"/>
      <c r="J94" s="10"/>
      <c r="K94" s="6" t="s">
        <v>246</v>
      </c>
      <c r="L94" s="6" t="s">
        <v>72</v>
      </c>
      <c r="M94" s="5"/>
      <c r="N94" s="5"/>
      <c r="O94" s="5"/>
      <c r="P94" s="5"/>
      <c r="Q94" s="6" t="s">
        <v>63</v>
      </c>
      <c r="R94" s="5"/>
      <c r="S94" s="6" t="s">
        <v>449</v>
      </c>
      <c r="T94" s="5"/>
      <c r="U94" s="5"/>
      <c r="V94" s="5"/>
      <c r="W94" s="5"/>
      <c r="X94" s="5"/>
      <c r="Y94" s="8">
        <f t="shared" si="1"/>
        <v>45901.32789</v>
      </c>
      <c r="Z94" s="5"/>
      <c r="AA94" s="6" t="s">
        <v>66</v>
      </c>
      <c r="AB94" s="6" t="s">
        <v>67</v>
      </c>
      <c r="AC94" s="5"/>
      <c r="AD94" s="5"/>
      <c r="AE94" s="5"/>
      <c r="AF94" s="5"/>
      <c r="AG94" s="5"/>
      <c r="AH94" s="5"/>
      <c r="AI94" s="5"/>
      <c r="AJ94" s="5"/>
      <c r="AK94" s="5"/>
      <c r="AL94" s="6" t="s">
        <v>63</v>
      </c>
      <c r="AM94" s="5"/>
      <c r="AN94" s="5"/>
      <c r="AO94" s="5"/>
      <c r="AP94" s="5"/>
      <c r="AQ94" s="5"/>
      <c r="AR94" s="5"/>
      <c r="AS94" s="5"/>
      <c r="AT94" s="5"/>
      <c r="AU94" s="5"/>
      <c r="AV94" s="5"/>
      <c r="AW94" s="5"/>
      <c r="AX94" s="5"/>
      <c r="AY94" s="5"/>
      <c r="AZ94" s="5"/>
      <c r="BA94" s="5"/>
      <c r="BB94" s="6" t="s">
        <v>69</v>
      </c>
      <c r="BC94" s="5"/>
      <c r="BD94" s="6" t="s">
        <v>69</v>
      </c>
      <c r="BE94" s="6">
        <v>1001.0</v>
      </c>
    </row>
    <row r="95" ht="15.75" customHeight="1">
      <c r="A95" s="5"/>
      <c r="B95" s="6" t="s">
        <v>274</v>
      </c>
      <c r="C95" s="6" t="s">
        <v>450</v>
      </c>
      <c r="D95" s="6" t="s">
        <v>451</v>
      </c>
      <c r="E95" s="6">
        <v>8.0</v>
      </c>
      <c r="F95" s="5"/>
      <c r="G95" s="5"/>
      <c r="H95" s="5"/>
      <c r="I95" s="10"/>
      <c r="J95" s="10"/>
      <c r="K95" s="6" t="s">
        <v>246</v>
      </c>
      <c r="L95" s="6" t="s">
        <v>72</v>
      </c>
      <c r="M95" s="5"/>
      <c r="N95" s="5"/>
      <c r="O95" s="5"/>
      <c r="P95" s="5"/>
      <c r="Q95" s="5"/>
      <c r="R95" s="5"/>
      <c r="S95" s="6" t="s">
        <v>452</v>
      </c>
      <c r="T95" s="5"/>
      <c r="U95" s="5"/>
      <c r="V95" s="5"/>
      <c r="W95" s="5"/>
      <c r="X95" s="5"/>
      <c r="Y95" s="8">
        <f t="shared" si="1"/>
        <v>45901.32789</v>
      </c>
      <c r="Z95" s="5"/>
      <c r="AA95" s="6" t="s">
        <v>66</v>
      </c>
      <c r="AB95" s="6" t="s">
        <v>67</v>
      </c>
      <c r="AC95" s="5"/>
      <c r="AD95" s="5"/>
      <c r="AE95" s="5"/>
      <c r="AF95" s="5"/>
      <c r="AG95" s="5"/>
      <c r="AH95" s="5"/>
      <c r="AI95" s="5"/>
      <c r="AJ95" s="5"/>
      <c r="AK95" s="5"/>
      <c r="AL95" s="6" t="s">
        <v>63</v>
      </c>
      <c r="AM95" s="5"/>
      <c r="AN95" s="5"/>
      <c r="AO95" s="5"/>
      <c r="AP95" s="5"/>
      <c r="AQ95" s="5"/>
      <c r="AR95" s="5"/>
      <c r="AS95" s="5"/>
      <c r="AT95" s="5"/>
      <c r="AU95" s="5"/>
      <c r="AV95" s="5"/>
      <c r="AW95" s="5"/>
      <c r="AX95" s="5"/>
      <c r="AY95" s="5"/>
      <c r="AZ95" s="5"/>
      <c r="BA95" s="5"/>
      <c r="BB95" s="6" t="s">
        <v>69</v>
      </c>
      <c r="BC95" s="5"/>
      <c r="BD95" s="6" t="s">
        <v>69</v>
      </c>
      <c r="BE95" s="6">
        <v>1001.0</v>
      </c>
    </row>
    <row r="96" ht="15.75" customHeight="1">
      <c r="A96" s="5"/>
      <c r="B96" s="6" t="s">
        <v>453</v>
      </c>
      <c r="C96" s="6" t="s">
        <v>454</v>
      </c>
      <c r="D96" s="6" t="s">
        <v>455</v>
      </c>
      <c r="E96" s="6">
        <v>2.0</v>
      </c>
      <c r="F96" s="5"/>
      <c r="G96" s="5"/>
      <c r="H96" s="5"/>
      <c r="I96" s="10"/>
      <c r="J96" s="10"/>
      <c r="K96" s="6" t="s">
        <v>246</v>
      </c>
      <c r="L96" s="6" t="s">
        <v>72</v>
      </c>
      <c r="M96" s="5"/>
      <c r="N96" s="5"/>
      <c r="O96" s="5"/>
      <c r="P96" s="5"/>
      <c r="Q96" s="6" t="s">
        <v>63</v>
      </c>
      <c r="R96" s="5"/>
      <c r="S96" s="6" t="s">
        <v>456</v>
      </c>
      <c r="T96" s="5"/>
      <c r="U96" s="5"/>
      <c r="V96" s="5"/>
      <c r="W96" s="5"/>
      <c r="X96" s="5"/>
      <c r="Y96" s="8">
        <f t="shared" si="1"/>
        <v>45901.32789</v>
      </c>
      <c r="Z96" s="5"/>
      <c r="AA96" s="6" t="s">
        <v>66</v>
      </c>
      <c r="AB96" s="6" t="s">
        <v>67</v>
      </c>
      <c r="AC96" s="5"/>
      <c r="AD96" s="5"/>
      <c r="AE96" s="5"/>
      <c r="AF96" s="5"/>
      <c r="AG96" s="5"/>
      <c r="AH96" s="5"/>
      <c r="AI96" s="5"/>
      <c r="AJ96" s="5"/>
      <c r="AK96" s="5"/>
      <c r="AL96" s="6" t="s">
        <v>63</v>
      </c>
      <c r="AM96" s="5"/>
      <c r="AN96" s="5"/>
      <c r="AO96" s="5"/>
      <c r="AP96" s="5"/>
      <c r="AQ96" s="5"/>
      <c r="AR96" s="5"/>
      <c r="AS96" s="5"/>
      <c r="AT96" s="5"/>
      <c r="AU96" s="5"/>
      <c r="AV96" s="5"/>
      <c r="AW96" s="5"/>
      <c r="AX96" s="5"/>
      <c r="AY96" s="5"/>
      <c r="AZ96" s="5"/>
      <c r="BA96" s="5"/>
      <c r="BB96" s="6" t="s">
        <v>69</v>
      </c>
      <c r="BC96" s="5"/>
      <c r="BD96" s="6" t="s">
        <v>69</v>
      </c>
      <c r="BE96" s="6">
        <v>1001.0</v>
      </c>
    </row>
    <row r="97" ht="15.75" customHeight="1">
      <c r="A97" s="5"/>
      <c r="B97" s="6" t="s">
        <v>457</v>
      </c>
      <c r="C97" s="6" t="s">
        <v>454</v>
      </c>
      <c r="D97" s="6" t="s">
        <v>458</v>
      </c>
      <c r="E97" s="6">
        <v>8.0</v>
      </c>
      <c r="F97" s="5"/>
      <c r="G97" s="5"/>
      <c r="H97" s="5"/>
      <c r="I97" s="10"/>
      <c r="J97" s="10"/>
      <c r="K97" s="6" t="s">
        <v>459</v>
      </c>
      <c r="L97" s="6" t="s">
        <v>72</v>
      </c>
      <c r="M97" s="5"/>
      <c r="N97" s="6" t="s">
        <v>72</v>
      </c>
      <c r="O97" s="5"/>
      <c r="P97" s="5"/>
      <c r="Q97" s="5"/>
      <c r="R97" s="5"/>
      <c r="S97" s="6" t="s">
        <v>460</v>
      </c>
      <c r="T97" s="5"/>
      <c r="U97" s="5"/>
      <c r="V97" s="5"/>
      <c r="W97" s="5"/>
      <c r="X97" s="5"/>
      <c r="Y97" s="8">
        <f t="shared" si="1"/>
        <v>45901.32789</v>
      </c>
      <c r="Z97" s="5"/>
      <c r="AA97" s="6" t="s">
        <v>66</v>
      </c>
      <c r="AB97" s="6" t="s">
        <v>67</v>
      </c>
      <c r="AC97" s="5"/>
      <c r="AD97" s="5"/>
      <c r="AE97" s="5"/>
      <c r="AF97" s="5"/>
      <c r="AG97" s="5"/>
      <c r="AH97" s="5"/>
      <c r="AI97" s="5"/>
      <c r="AJ97" s="5"/>
      <c r="AK97" s="5"/>
      <c r="AL97" s="6" t="s">
        <v>63</v>
      </c>
      <c r="AM97" s="5"/>
      <c r="AN97" s="5"/>
      <c r="AO97" s="5"/>
      <c r="AP97" s="5"/>
      <c r="AQ97" s="5"/>
      <c r="AR97" s="5"/>
      <c r="AS97" s="5"/>
      <c r="AT97" s="5"/>
      <c r="AU97" s="5"/>
      <c r="AV97" s="5"/>
      <c r="AW97" s="5"/>
      <c r="AX97" s="5"/>
      <c r="AY97" s="5"/>
      <c r="AZ97" s="5"/>
      <c r="BA97" s="5"/>
      <c r="BB97" s="6" t="s">
        <v>69</v>
      </c>
      <c r="BC97" s="5"/>
      <c r="BD97" s="6" t="s">
        <v>69</v>
      </c>
      <c r="BE97" s="6">
        <v>1001.0</v>
      </c>
    </row>
    <row r="98" ht="15.75" customHeight="1">
      <c r="A98" s="5"/>
      <c r="B98" s="6" t="s">
        <v>461</v>
      </c>
      <c r="C98" s="6" t="s">
        <v>462</v>
      </c>
      <c r="D98" s="6" t="s">
        <v>463</v>
      </c>
      <c r="E98" s="6">
        <v>4.0</v>
      </c>
      <c r="F98" s="5"/>
      <c r="G98" s="5"/>
      <c r="H98" s="6" t="s">
        <v>61</v>
      </c>
      <c r="I98" s="10"/>
      <c r="J98" s="10"/>
      <c r="K98" s="6" t="s">
        <v>246</v>
      </c>
      <c r="L98" s="6" t="s">
        <v>72</v>
      </c>
      <c r="M98" s="5"/>
      <c r="N98" s="6" t="s">
        <v>61</v>
      </c>
      <c r="O98" s="5"/>
      <c r="P98" s="5"/>
      <c r="Q98" s="6" t="s">
        <v>63</v>
      </c>
      <c r="R98" s="5"/>
      <c r="S98" s="6" t="s">
        <v>464</v>
      </c>
      <c r="T98" s="5"/>
      <c r="U98" s="5"/>
      <c r="V98" s="5"/>
      <c r="W98" s="5"/>
      <c r="X98" s="5"/>
      <c r="Y98" s="8">
        <f t="shared" si="1"/>
        <v>45901.32789</v>
      </c>
      <c r="Z98" s="5"/>
      <c r="AA98" s="6" t="s">
        <v>66</v>
      </c>
      <c r="AB98" s="6" t="s">
        <v>67</v>
      </c>
      <c r="AC98" s="5"/>
      <c r="AD98" s="5"/>
      <c r="AE98" s="5"/>
      <c r="AF98" s="5"/>
      <c r="AG98" s="5"/>
      <c r="AH98" s="5"/>
      <c r="AI98" s="5"/>
      <c r="AJ98" s="5"/>
      <c r="AK98" s="5"/>
      <c r="AL98" s="6" t="s">
        <v>63</v>
      </c>
      <c r="AM98" s="5"/>
      <c r="AN98" s="5"/>
      <c r="AO98" s="5"/>
      <c r="AP98" s="5"/>
      <c r="AQ98" s="5"/>
      <c r="AR98" s="5"/>
      <c r="AS98" s="5"/>
      <c r="AT98" s="5"/>
      <c r="AU98" s="5"/>
      <c r="AV98" s="5"/>
      <c r="AW98" s="5"/>
      <c r="AX98" s="5"/>
      <c r="AY98" s="5"/>
      <c r="AZ98" s="5"/>
      <c r="BA98" s="5"/>
      <c r="BB98" s="6" t="s">
        <v>69</v>
      </c>
      <c r="BC98" s="5"/>
      <c r="BD98" s="6" t="s">
        <v>69</v>
      </c>
      <c r="BE98" s="6">
        <v>1001.0</v>
      </c>
    </row>
    <row r="99" ht="15.75" customHeight="1">
      <c r="A99" s="5"/>
      <c r="B99" s="6" t="s">
        <v>465</v>
      </c>
      <c r="C99" s="6" t="s">
        <v>466</v>
      </c>
      <c r="D99" s="6" t="s">
        <v>467</v>
      </c>
      <c r="E99" s="6">
        <v>8.0</v>
      </c>
      <c r="F99" s="5"/>
      <c r="G99" s="5"/>
      <c r="H99" s="5"/>
      <c r="I99" s="10"/>
      <c r="J99" s="10"/>
      <c r="K99" s="6" t="s">
        <v>246</v>
      </c>
      <c r="L99" s="6" t="s">
        <v>72</v>
      </c>
      <c r="M99" s="5"/>
      <c r="N99" s="5"/>
      <c r="O99" s="5"/>
      <c r="P99" s="5"/>
      <c r="Q99" s="5"/>
      <c r="R99" s="5"/>
      <c r="S99" s="6" t="s">
        <v>468</v>
      </c>
      <c r="T99" s="5"/>
      <c r="U99" s="5"/>
      <c r="V99" s="5"/>
      <c r="W99" s="5"/>
      <c r="X99" s="5"/>
      <c r="Y99" s="8">
        <f t="shared" si="1"/>
        <v>45901.32789</v>
      </c>
      <c r="Z99" s="5"/>
      <c r="AA99" s="6" t="s">
        <v>66</v>
      </c>
      <c r="AB99" s="6" t="s">
        <v>67</v>
      </c>
      <c r="AC99" s="5"/>
      <c r="AD99" s="5"/>
      <c r="AE99" s="5"/>
      <c r="AF99" s="5"/>
      <c r="AG99" s="5"/>
      <c r="AH99" s="5"/>
      <c r="AI99" s="5"/>
      <c r="AJ99" s="5"/>
      <c r="AK99" s="5"/>
      <c r="AL99" s="6" t="s">
        <v>63</v>
      </c>
      <c r="AM99" s="5"/>
      <c r="AN99" s="5"/>
      <c r="AO99" s="5"/>
      <c r="AP99" s="5"/>
      <c r="AQ99" s="5"/>
      <c r="AR99" s="5"/>
      <c r="AS99" s="5"/>
      <c r="AT99" s="5"/>
      <c r="AU99" s="5"/>
      <c r="AV99" s="5"/>
      <c r="AW99" s="5"/>
      <c r="AX99" s="5"/>
      <c r="AY99" s="5"/>
      <c r="AZ99" s="5"/>
      <c r="BA99" s="5"/>
      <c r="BB99" s="6" t="s">
        <v>69</v>
      </c>
      <c r="BC99" s="5"/>
      <c r="BD99" s="6" t="s">
        <v>69</v>
      </c>
      <c r="BE99" s="6">
        <v>1001.0</v>
      </c>
    </row>
    <row r="100" ht="15.75" customHeight="1">
      <c r="A100" s="6">
        <v>854.0</v>
      </c>
      <c r="B100" s="6" t="s">
        <v>469</v>
      </c>
      <c r="C100" s="6" t="s">
        <v>470</v>
      </c>
      <c r="D100" s="5"/>
      <c r="E100" s="6">
        <v>9.0</v>
      </c>
      <c r="F100" s="5"/>
      <c r="G100" s="5"/>
      <c r="H100" s="5"/>
      <c r="I100" s="10"/>
      <c r="J100" s="10"/>
      <c r="K100" s="6" t="s">
        <v>246</v>
      </c>
      <c r="L100" s="6" t="s">
        <v>72</v>
      </c>
      <c r="M100" s="5"/>
      <c r="N100" s="5"/>
      <c r="O100" s="5"/>
      <c r="P100" s="5"/>
      <c r="Q100" s="6" t="s">
        <v>63</v>
      </c>
      <c r="R100" s="5"/>
      <c r="S100" s="6" t="s">
        <v>471</v>
      </c>
      <c r="T100" s="5"/>
      <c r="U100" s="5"/>
      <c r="V100" s="5"/>
      <c r="W100" s="5"/>
      <c r="X100" s="5"/>
      <c r="Y100" s="8">
        <f t="shared" si="1"/>
        <v>45901.32789</v>
      </c>
      <c r="Z100" s="5"/>
      <c r="AA100" s="6" t="s">
        <v>66</v>
      </c>
      <c r="AB100" s="6" t="s">
        <v>67</v>
      </c>
      <c r="AC100" s="5"/>
      <c r="AD100" s="5"/>
      <c r="AE100" s="5"/>
      <c r="AF100" s="5"/>
      <c r="AG100" s="5"/>
      <c r="AH100" s="5"/>
      <c r="AI100" s="5"/>
      <c r="AJ100" s="5"/>
      <c r="AK100" s="5"/>
      <c r="AL100" s="6" t="s">
        <v>63</v>
      </c>
      <c r="AM100" s="5"/>
      <c r="AN100" s="5"/>
      <c r="AO100" s="5"/>
      <c r="AP100" s="5"/>
      <c r="AQ100" s="5"/>
      <c r="AR100" s="5"/>
      <c r="AS100" s="5"/>
      <c r="AT100" s="5"/>
      <c r="AU100" s="5"/>
      <c r="AV100" s="5"/>
      <c r="AW100" s="5"/>
      <c r="AX100" s="5"/>
      <c r="AY100" s="5"/>
      <c r="AZ100" s="5"/>
      <c r="BA100" s="5"/>
      <c r="BB100" s="6" t="s">
        <v>69</v>
      </c>
      <c r="BC100" s="5"/>
      <c r="BD100" s="6" t="s">
        <v>69</v>
      </c>
      <c r="BE100" s="6">
        <v>1001.0</v>
      </c>
    </row>
    <row r="101" ht="15.75" customHeight="1">
      <c r="A101" s="5"/>
      <c r="B101" s="6" t="s">
        <v>472</v>
      </c>
      <c r="C101" s="6" t="s">
        <v>473</v>
      </c>
      <c r="D101" s="6" t="s">
        <v>474</v>
      </c>
      <c r="E101" s="6">
        <v>6.0</v>
      </c>
      <c r="F101" s="5"/>
      <c r="G101" s="5"/>
      <c r="H101" s="6" t="s">
        <v>426</v>
      </c>
      <c r="I101" s="10"/>
      <c r="J101" s="10"/>
      <c r="K101" s="6" t="s">
        <v>246</v>
      </c>
      <c r="L101" s="6" t="s">
        <v>72</v>
      </c>
      <c r="M101" s="5"/>
      <c r="N101" s="5"/>
      <c r="O101" s="5"/>
      <c r="P101" s="5"/>
      <c r="Q101" s="6" t="s">
        <v>475</v>
      </c>
      <c r="R101" s="6" t="s">
        <v>476</v>
      </c>
      <c r="S101" s="5"/>
      <c r="T101" s="5"/>
      <c r="U101" s="5"/>
      <c r="V101" s="5"/>
      <c r="W101" s="5"/>
      <c r="X101" s="5"/>
      <c r="Y101" s="8">
        <f t="shared" si="1"/>
        <v>45901.32789</v>
      </c>
      <c r="Z101" s="5"/>
      <c r="AA101" s="6" t="s">
        <v>66</v>
      </c>
      <c r="AB101" s="6" t="s">
        <v>67</v>
      </c>
      <c r="AC101" s="5"/>
      <c r="AD101" s="5"/>
      <c r="AE101" s="5"/>
      <c r="AF101" s="5"/>
      <c r="AG101" s="5"/>
      <c r="AH101" s="5"/>
      <c r="AI101" s="5"/>
      <c r="AJ101" s="5"/>
      <c r="AK101" s="5"/>
      <c r="AL101" s="6" t="s">
        <v>63</v>
      </c>
      <c r="AM101" s="5"/>
      <c r="AN101" s="5"/>
      <c r="AO101" s="5"/>
      <c r="AP101" s="5"/>
      <c r="AQ101" s="5"/>
      <c r="AR101" s="5"/>
      <c r="AS101" s="5"/>
      <c r="AT101" s="5"/>
      <c r="AU101" s="5"/>
      <c r="AV101" s="5"/>
      <c r="AW101" s="5"/>
      <c r="AX101" s="5"/>
      <c r="AY101" s="5"/>
      <c r="AZ101" s="5"/>
      <c r="BA101" s="5"/>
      <c r="BB101" s="6" t="s">
        <v>69</v>
      </c>
      <c r="BC101" s="5"/>
      <c r="BD101" s="6" t="s">
        <v>69</v>
      </c>
      <c r="BE101" s="6">
        <v>1001.0</v>
      </c>
    </row>
    <row r="102" ht="15.75" customHeight="1">
      <c r="A102" s="5"/>
      <c r="B102" s="6" t="s">
        <v>477</v>
      </c>
      <c r="C102" s="6" t="s">
        <v>75</v>
      </c>
      <c r="D102" s="5"/>
      <c r="E102" s="6">
        <v>8.0</v>
      </c>
      <c r="F102" s="5"/>
      <c r="G102" s="5"/>
      <c r="H102" s="5"/>
      <c r="I102" s="10"/>
      <c r="J102" s="10"/>
      <c r="K102" s="6" t="s">
        <v>246</v>
      </c>
      <c r="L102" s="6" t="s">
        <v>72</v>
      </c>
      <c r="M102" s="5"/>
      <c r="N102" s="5"/>
      <c r="O102" s="5"/>
      <c r="P102" s="5"/>
      <c r="Q102" s="5"/>
      <c r="R102" s="5"/>
      <c r="S102" s="6" t="s">
        <v>478</v>
      </c>
      <c r="T102" s="5"/>
      <c r="U102" s="5"/>
      <c r="V102" s="5"/>
      <c r="W102" s="5"/>
      <c r="X102" s="5"/>
      <c r="Y102" s="8">
        <f t="shared" si="1"/>
        <v>45901.32789</v>
      </c>
      <c r="Z102" s="5"/>
      <c r="AA102" s="6" t="s">
        <v>66</v>
      </c>
      <c r="AB102" s="6" t="s">
        <v>67</v>
      </c>
      <c r="AC102" s="5"/>
      <c r="AD102" s="5"/>
      <c r="AE102" s="5"/>
      <c r="AF102" s="5"/>
      <c r="AG102" s="5"/>
      <c r="AH102" s="5"/>
      <c r="AI102" s="5"/>
      <c r="AJ102" s="5"/>
      <c r="AK102" s="5"/>
      <c r="AL102" s="6" t="s">
        <v>63</v>
      </c>
      <c r="AM102" s="5"/>
      <c r="AN102" s="5"/>
      <c r="AO102" s="5"/>
      <c r="AP102" s="5"/>
      <c r="AQ102" s="5"/>
      <c r="AR102" s="5"/>
      <c r="AS102" s="5"/>
      <c r="AT102" s="5"/>
      <c r="AU102" s="5"/>
      <c r="AV102" s="5"/>
      <c r="AW102" s="5"/>
      <c r="AX102" s="5"/>
      <c r="AY102" s="5"/>
      <c r="AZ102" s="5"/>
      <c r="BA102" s="5"/>
      <c r="BB102" s="6" t="s">
        <v>69</v>
      </c>
      <c r="BC102" s="5"/>
      <c r="BD102" s="6" t="s">
        <v>69</v>
      </c>
      <c r="BE102" s="6">
        <v>1001.0</v>
      </c>
    </row>
    <row r="103" ht="15.75" customHeight="1">
      <c r="A103" s="6">
        <v>732.0</v>
      </c>
      <c r="B103" s="6" t="s">
        <v>479</v>
      </c>
      <c r="C103" s="6" t="s">
        <v>480</v>
      </c>
      <c r="D103" s="6" t="s">
        <v>481</v>
      </c>
      <c r="E103" s="6">
        <v>9.0</v>
      </c>
      <c r="F103" s="5"/>
      <c r="G103" s="5"/>
      <c r="H103" s="5"/>
      <c r="I103" s="10"/>
      <c r="J103" s="10"/>
      <c r="K103" s="6" t="s">
        <v>246</v>
      </c>
      <c r="L103" s="6" t="s">
        <v>72</v>
      </c>
      <c r="M103" s="5"/>
      <c r="N103" s="5"/>
      <c r="O103" s="5"/>
      <c r="P103" s="5"/>
      <c r="Q103" s="6" t="s">
        <v>63</v>
      </c>
      <c r="R103" s="5"/>
      <c r="S103" s="6" t="s">
        <v>482</v>
      </c>
      <c r="T103" s="5"/>
      <c r="U103" s="5"/>
      <c r="V103" s="5"/>
      <c r="W103" s="5"/>
      <c r="X103" s="5"/>
      <c r="Y103" s="8">
        <f t="shared" si="1"/>
        <v>45901.32789</v>
      </c>
      <c r="Z103" s="5"/>
      <c r="AA103" s="6" t="s">
        <v>66</v>
      </c>
      <c r="AB103" s="6" t="s">
        <v>67</v>
      </c>
      <c r="AC103" s="5"/>
      <c r="AD103" s="5"/>
      <c r="AE103" s="5"/>
      <c r="AF103" s="5"/>
      <c r="AG103" s="5"/>
      <c r="AH103" s="5"/>
      <c r="AI103" s="5"/>
      <c r="AJ103" s="5"/>
      <c r="AK103" s="5"/>
      <c r="AL103" s="6" t="s">
        <v>63</v>
      </c>
      <c r="AM103" s="5"/>
      <c r="AN103" s="5"/>
      <c r="AO103" s="5"/>
      <c r="AP103" s="5"/>
      <c r="AQ103" s="5"/>
      <c r="AR103" s="5"/>
      <c r="AS103" s="5"/>
      <c r="AT103" s="5"/>
      <c r="AU103" s="5"/>
      <c r="AV103" s="5"/>
      <c r="AW103" s="5"/>
      <c r="AX103" s="5"/>
      <c r="AY103" s="5"/>
      <c r="AZ103" s="5"/>
      <c r="BA103" s="5"/>
      <c r="BB103" s="6" t="s">
        <v>69</v>
      </c>
      <c r="BC103" s="5"/>
      <c r="BD103" s="6" t="s">
        <v>69</v>
      </c>
      <c r="BE103" s="6">
        <v>1001.0</v>
      </c>
    </row>
    <row r="104" ht="15.75" customHeight="1">
      <c r="A104" s="5"/>
      <c r="B104" s="6" t="s">
        <v>483</v>
      </c>
      <c r="C104" s="6" t="s">
        <v>484</v>
      </c>
      <c r="D104" s="6" t="s">
        <v>485</v>
      </c>
      <c r="E104" s="6">
        <v>4.0</v>
      </c>
      <c r="F104" s="5"/>
      <c r="G104" s="5"/>
      <c r="H104" s="6" t="s">
        <v>72</v>
      </c>
      <c r="I104" s="10"/>
      <c r="J104" s="10"/>
      <c r="K104" s="6" t="s">
        <v>246</v>
      </c>
      <c r="L104" s="6" t="s">
        <v>72</v>
      </c>
      <c r="M104" s="5"/>
      <c r="N104" s="5"/>
      <c r="O104" s="5"/>
      <c r="P104" s="5"/>
      <c r="Q104" s="6" t="s">
        <v>63</v>
      </c>
      <c r="R104" s="5"/>
      <c r="S104" s="6" t="s">
        <v>486</v>
      </c>
      <c r="T104" s="5"/>
      <c r="U104" s="5"/>
      <c r="V104" s="5"/>
      <c r="W104" s="5"/>
      <c r="X104" s="5"/>
      <c r="Y104" s="8">
        <f t="shared" si="1"/>
        <v>45901.32789</v>
      </c>
      <c r="Z104" s="5"/>
      <c r="AA104" s="6" t="s">
        <v>66</v>
      </c>
      <c r="AB104" s="6" t="s">
        <v>67</v>
      </c>
      <c r="AC104" s="5"/>
      <c r="AD104" s="5"/>
      <c r="AE104" s="5"/>
      <c r="AF104" s="5"/>
      <c r="AG104" s="5"/>
      <c r="AH104" s="5"/>
      <c r="AI104" s="5"/>
      <c r="AJ104" s="5"/>
      <c r="AK104" s="5"/>
      <c r="AL104" s="6" t="s">
        <v>63</v>
      </c>
      <c r="AM104" s="5"/>
      <c r="AN104" s="5"/>
      <c r="AO104" s="5"/>
      <c r="AP104" s="5"/>
      <c r="AQ104" s="5"/>
      <c r="AR104" s="5"/>
      <c r="AS104" s="5"/>
      <c r="AT104" s="5"/>
      <c r="AU104" s="5"/>
      <c r="AV104" s="5"/>
      <c r="AW104" s="5"/>
      <c r="AX104" s="5"/>
      <c r="AY104" s="5"/>
      <c r="AZ104" s="5"/>
      <c r="BA104" s="5"/>
      <c r="BB104" s="6" t="s">
        <v>69</v>
      </c>
      <c r="BC104" s="5"/>
      <c r="BD104" s="6" t="s">
        <v>69</v>
      </c>
      <c r="BE104" s="6">
        <v>1001.0</v>
      </c>
    </row>
    <row r="105" ht="15.75" customHeight="1">
      <c r="A105" s="5"/>
      <c r="B105" s="6" t="s">
        <v>487</v>
      </c>
      <c r="C105" s="6" t="s">
        <v>488</v>
      </c>
      <c r="D105" s="6" t="s">
        <v>489</v>
      </c>
      <c r="E105" s="6">
        <v>2.0</v>
      </c>
      <c r="F105" s="5"/>
      <c r="G105" s="5"/>
      <c r="H105" s="6" t="s">
        <v>72</v>
      </c>
      <c r="I105" s="10"/>
      <c r="J105" s="10"/>
      <c r="K105" s="6" t="s">
        <v>246</v>
      </c>
      <c r="L105" s="6" t="s">
        <v>72</v>
      </c>
      <c r="M105" s="5"/>
      <c r="N105" s="5"/>
      <c r="O105" s="5"/>
      <c r="P105" s="5"/>
      <c r="Q105" s="6" t="s">
        <v>171</v>
      </c>
      <c r="R105" s="5"/>
      <c r="S105" s="6" t="s">
        <v>490</v>
      </c>
      <c r="T105" s="5"/>
      <c r="U105" s="5"/>
      <c r="V105" s="5"/>
      <c r="W105" s="5"/>
      <c r="X105" s="5"/>
      <c r="Y105" s="8">
        <f t="shared" si="1"/>
        <v>45901.32789</v>
      </c>
      <c r="Z105" s="5"/>
      <c r="AA105" s="6" t="s">
        <v>66</v>
      </c>
      <c r="AB105" s="6" t="s">
        <v>67</v>
      </c>
      <c r="AC105" s="5"/>
      <c r="AD105" s="5"/>
      <c r="AE105" s="5"/>
      <c r="AF105" s="5"/>
      <c r="AG105" s="5"/>
      <c r="AH105" s="5"/>
      <c r="AI105" s="5"/>
      <c r="AJ105" s="5"/>
      <c r="AK105" s="5"/>
      <c r="AL105" s="6" t="s">
        <v>63</v>
      </c>
      <c r="AM105" s="5"/>
      <c r="AN105" s="5"/>
      <c r="AO105" s="5"/>
      <c r="AP105" s="5"/>
      <c r="AQ105" s="5"/>
      <c r="AR105" s="5"/>
      <c r="AS105" s="5"/>
      <c r="AT105" s="5"/>
      <c r="AU105" s="5"/>
      <c r="AV105" s="5"/>
      <c r="AW105" s="5"/>
      <c r="AX105" s="5"/>
      <c r="AY105" s="5"/>
      <c r="AZ105" s="5"/>
      <c r="BA105" s="5"/>
      <c r="BB105" s="6" t="s">
        <v>69</v>
      </c>
      <c r="BC105" s="5"/>
      <c r="BD105" s="6" t="s">
        <v>69</v>
      </c>
      <c r="BE105" s="6">
        <v>1001.0</v>
      </c>
    </row>
    <row r="106" ht="15.75" customHeight="1">
      <c r="A106" s="5"/>
      <c r="B106" s="6" t="s">
        <v>491</v>
      </c>
      <c r="C106" s="6" t="s">
        <v>492</v>
      </c>
      <c r="D106" s="6" t="s">
        <v>493</v>
      </c>
      <c r="E106" s="6">
        <v>8.0</v>
      </c>
      <c r="F106" s="5"/>
      <c r="G106" s="5"/>
      <c r="H106" s="5"/>
      <c r="I106" s="10"/>
      <c r="J106" s="10"/>
      <c r="K106" s="6" t="s">
        <v>246</v>
      </c>
      <c r="L106" s="6" t="s">
        <v>72</v>
      </c>
      <c r="M106" s="5"/>
      <c r="N106" s="5"/>
      <c r="O106" s="5"/>
      <c r="P106" s="5"/>
      <c r="Q106" s="5"/>
      <c r="R106" s="5"/>
      <c r="S106" s="6" t="s">
        <v>494</v>
      </c>
      <c r="T106" s="5"/>
      <c r="U106" s="5"/>
      <c r="V106" s="5"/>
      <c r="W106" s="5"/>
      <c r="X106" s="5"/>
      <c r="Y106" s="8">
        <f t="shared" si="1"/>
        <v>45901.32789</v>
      </c>
      <c r="Z106" s="5"/>
      <c r="AA106" s="6" t="s">
        <v>66</v>
      </c>
      <c r="AB106" s="6" t="s">
        <v>67</v>
      </c>
      <c r="AC106" s="5"/>
      <c r="AD106" s="5"/>
      <c r="AE106" s="5"/>
      <c r="AF106" s="5"/>
      <c r="AG106" s="5"/>
      <c r="AH106" s="5"/>
      <c r="AI106" s="5"/>
      <c r="AJ106" s="5"/>
      <c r="AK106" s="5"/>
      <c r="AL106" s="6" t="s">
        <v>63</v>
      </c>
      <c r="AM106" s="5"/>
      <c r="AN106" s="5"/>
      <c r="AO106" s="5"/>
      <c r="AP106" s="5"/>
      <c r="AQ106" s="5"/>
      <c r="AR106" s="5"/>
      <c r="AS106" s="5"/>
      <c r="AT106" s="5"/>
      <c r="AU106" s="5"/>
      <c r="AV106" s="5"/>
      <c r="AW106" s="5"/>
      <c r="AX106" s="5"/>
      <c r="AY106" s="5"/>
      <c r="AZ106" s="5"/>
      <c r="BA106" s="5"/>
      <c r="BB106" s="6" t="s">
        <v>69</v>
      </c>
      <c r="BC106" s="5"/>
      <c r="BD106" s="6" t="s">
        <v>69</v>
      </c>
      <c r="BE106" s="6">
        <v>1001.0</v>
      </c>
    </row>
    <row r="107" ht="15.75" customHeight="1">
      <c r="A107" s="6">
        <v>730.0</v>
      </c>
      <c r="B107" s="6" t="s">
        <v>495</v>
      </c>
      <c r="C107" s="6" t="s">
        <v>496</v>
      </c>
      <c r="D107" s="6" t="s">
        <v>345</v>
      </c>
      <c r="E107" s="6">
        <v>9.0</v>
      </c>
      <c r="F107" s="5"/>
      <c r="G107" s="5"/>
      <c r="H107" s="5"/>
      <c r="I107" s="10"/>
      <c r="J107" s="10"/>
      <c r="K107" s="6" t="s">
        <v>246</v>
      </c>
      <c r="L107" s="6" t="s">
        <v>72</v>
      </c>
      <c r="M107" s="5"/>
      <c r="N107" s="5"/>
      <c r="O107" s="5"/>
      <c r="P107" s="5"/>
      <c r="Q107" s="6" t="s">
        <v>63</v>
      </c>
      <c r="R107" s="5"/>
      <c r="S107" s="6" t="s">
        <v>497</v>
      </c>
      <c r="T107" s="5"/>
      <c r="U107" s="5"/>
      <c r="V107" s="5"/>
      <c r="W107" s="5"/>
      <c r="X107" s="5"/>
      <c r="Y107" s="8">
        <f t="shared" si="1"/>
        <v>45901.32789</v>
      </c>
      <c r="Z107" s="5"/>
      <c r="AA107" s="6" t="s">
        <v>66</v>
      </c>
      <c r="AB107" s="6" t="s">
        <v>67</v>
      </c>
      <c r="AC107" s="5"/>
      <c r="AD107" s="5"/>
      <c r="AE107" s="5"/>
      <c r="AF107" s="5"/>
      <c r="AG107" s="5"/>
      <c r="AH107" s="5"/>
      <c r="AI107" s="5"/>
      <c r="AJ107" s="5"/>
      <c r="AK107" s="5"/>
      <c r="AL107" s="6" t="s">
        <v>63</v>
      </c>
      <c r="AM107" s="5"/>
      <c r="AN107" s="5"/>
      <c r="AO107" s="5"/>
      <c r="AP107" s="5"/>
      <c r="AQ107" s="5"/>
      <c r="AR107" s="5"/>
      <c r="AS107" s="5"/>
      <c r="AT107" s="5"/>
      <c r="AU107" s="5"/>
      <c r="AV107" s="5"/>
      <c r="AW107" s="5"/>
      <c r="AX107" s="5"/>
      <c r="AY107" s="5"/>
      <c r="AZ107" s="5"/>
      <c r="BA107" s="5"/>
      <c r="BB107" s="6" t="s">
        <v>69</v>
      </c>
      <c r="BC107" s="5"/>
      <c r="BD107" s="6" t="s">
        <v>69</v>
      </c>
      <c r="BE107" s="6">
        <v>1001.0</v>
      </c>
    </row>
    <row r="108" ht="15.75" customHeight="1">
      <c r="A108" s="5"/>
      <c r="B108" s="6" t="s">
        <v>186</v>
      </c>
      <c r="C108" s="6" t="s">
        <v>187</v>
      </c>
      <c r="D108" s="6" t="s">
        <v>498</v>
      </c>
      <c r="E108" s="6">
        <v>8.0</v>
      </c>
      <c r="F108" s="5"/>
      <c r="G108" s="5"/>
      <c r="H108" s="5"/>
      <c r="I108" s="10"/>
      <c r="J108" s="10"/>
      <c r="K108" s="6" t="s">
        <v>246</v>
      </c>
      <c r="L108" s="6" t="s">
        <v>72</v>
      </c>
      <c r="M108" s="5"/>
      <c r="N108" s="5"/>
      <c r="O108" s="5"/>
      <c r="P108" s="5"/>
      <c r="Q108" s="5"/>
      <c r="R108" s="5"/>
      <c r="S108" s="6" t="s">
        <v>499</v>
      </c>
      <c r="T108" s="5"/>
      <c r="U108" s="5"/>
      <c r="V108" s="5"/>
      <c r="W108" s="5"/>
      <c r="X108" s="5"/>
      <c r="Y108" s="8">
        <f t="shared" si="1"/>
        <v>45901.32789</v>
      </c>
      <c r="Z108" s="5"/>
      <c r="AA108" s="6" t="s">
        <v>66</v>
      </c>
      <c r="AB108" s="6" t="s">
        <v>67</v>
      </c>
      <c r="AC108" s="5"/>
      <c r="AD108" s="5"/>
      <c r="AE108" s="5"/>
      <c r="AF108" s="5"/>
      <c r="AG108" s="5"/>
      <c r="AH108" s="5"/>
      <c r="AI108" s="5"/>
      <c r="AJ108" s="5"/>
      <c r="AK108" s="5"/>
      <c r="AL108" s="6" t="s">
        <v>63</v>
      </c>
      <c r="AM108" s="5"/>
      <c r="AN108" s="5"/>
      <c r="AO108" s="5"/>
      <c r="AP108" s="5"/>
      <c r="AQ108" s="5"/>
      <c r="AR108" s="5"/>
      <c r="AS108" s="5"/>
      <c r="AT108" s="5"/>
      <c r="AU108" s="5"/>
      <c r="AV108" s="5"/>
      <c r="AW108" s="5"/>
      <c r="AX108" s="5"/>
      <c r="AY108" s="5"/>
      <c r="AZ108" s="5"/>
      <c r="BA108" s="5"/>
      <c r="BB108" s="6" t="s">
        <v>69</v>
      </c>
      <c r="BC108" s="5"/>
      <c r="BD108" s="6" t="s">
        <v>69</v>
      </c>
      <c r="BE108" s="6">
        <v>1001.0</v>
      </c>
    </row>
    <row r="109" ht="15.75" customHeight="1">
      <c r="A109" s="5"/>
      <c r="B109" s="6" t="s">
        <v>500</v>
      </c>
      <c r="C109" s="6" t="s">
        <v>501</v>
      </c>
      <c r="D109" s="6" t="s">
        <v>502</v>
      </c>
      <c r="E109" s="6">
        <v>8.0</v>
      </c>
      <c r="F109" s="5"/>
      <c r="G109" s="5"/>
      <c r="H109" s="5"/>
      <c r="I109" s="10"/>
      <c r="J109" s="10"/>
      <c r="K109" s="6" t="s">
        <v>246</v>
      </c>
      <c r="L109" s="6" t="s">
        <v>72</v>
      </c>
      <c r="M109" s="5"/>
      <c r="N109" s="5"/>
      <c r="O109" s="5"/>
      <c r="P109" s="5"/>
      <c r="Q109" s="5"/>
      <c r="R109" s="5"/>
      <c r="S109" s="6" t="s">
        <v>503</v>
      </c>
      <c r="T109" s="5"/>
      <c r="U109" s="5"/>
      <c r="V109" s="5"/>
      <c r="W109" s="5"/>
      <c r="X109" s="5"/>
      <c r="Y109" s="8">
        <f t="shared" si="1"/>
        <v>45901.32789</v>
      </c>
      <c r="Z109" s="5"/>
      <c r="AA109" s="6" t="s">
        <v>66</v>
      </c>
      <c r="AB109" s="6" t="s">
        <v>67</v>
      </c>
      <c r="AC109" s="5"/>
      <c r="AD109" s="5"/>
      <c r="AE109" s="5"/>
      <c r="AF109" s="5"/>
      <c r="AG109" s="5"/>
      <c r="AH109" s="5"/>
      <c r="AI109" s="5"/>
      <c r="AJ109" s="5"/>
      <c r="AK109" s="5"/>
      <c r="AL109" s="6" t="s">
        <v>63</v>
      </c>
      <c r="AM109" s="5"/>
      <c r="AN109" s="5"/>
      <c r="AO109" s="5"/>
      <c r="AP109" s="5"/>
      <c r="AQ109" s="5"/>
      <c r="AR109" s="5"/>
      <c r="AS109" s="5"/>
      <c r="AT109" s="5"/>
      <c r="AU109" s="5"/>
      <c r="AV109" s="5"/>
      <c r="AW109" s="5"/>
      <c r="AX109" s="5"/>
      <c r="AY109" s="5"/>
      <c r="AZ109" s="5"/>
      <c r="BA109" s="5"/>
      <c r="BB109" s="6" t="s">
        <v>69</v>
      </c>
      <c r="BC109" s="5"/>
      <c r="BD109" s="6" t="s">
        <v>69</v>
      </c>
      <c r="BE109" s="6">
        <v>1001.0</v>
      </c>
    </row>
    <row r="110" ht="15.75" customHeight="1">
      <c r="A110" s="5"/>
      <c r="B110" s="6" t="s">
        <v>133</v>
      </c>
      <c r="C110" s="6" t="s">
        <v>504</v>
      </c>
      <c r="D110" s="6" t="s">
        <v>505</v>
      </c>
      <c r="E110" s="6">
        <v>4.0</v>
      </c>
      <c r="F110" s="5"/>
      <c r="G110" s="5"/>
      <c r="H110" s="5"/>
      <c r="I110" s="10"/>
      <c r="J110" s="10"/>
      <c r="K110" s="6" t="s">
        <v>246</v>
      </c>
      <c r="L110" s="6" t="s">
        <v>72</v>
      </c>
      <c r="M110" s="5"/>
      <c r="N110" s="5"/>
      <c r="O110" s="5"/>
      <c r="P110" s="5"/>
      <c r="Q110" s="6" t="s">
        <v>63</v>
      </c>
      <c r="R110" s="5"/>
      <c r="S110" s="6" t="s">
        <v>435</v>
      </c>
      <c r="T110" s="5"/>
      <c r="U110" s="5"/>
      <c r="V110" s="5"/>
      <c r="W110" s="5"/>
      <c r="X110" s="5"/>
      <c r="Y110" s="8">
        <f t="shared" si="1"/>
        <v>45901.32789</v>
      </c>
      <c r="Z110" s="5"/>
      <c r="AA110" s="6" t="s">
        <v>66</v>
      </c>
      <c r="AB110" s="6" t="s">
        <v>67</v>
      </c>
      <c r="AC110" s="5"/>
      <c r="AD110" s="5"/>
      <c r="AE110" s="5"/>
      <c r="AF110" s="5"/>
      <c r="AG110" s="5"/>
      <c r="AH110" s="5"/>
      <c r="AI110" s="5"/>
      <c r="AJ110" s="5"/>
      <c r="AK110" s="5"/>
      <c r="AL110" s="6" t="s">
        <v>63</v>
      </c>
      <c r="AM110" s="5"/>
      <c r="AN110" s="5"/>
      <c r="AO110" s="5"/>
      <c r="AP110" s="5"/>
      <c r="AQ110" s="5"/>
      <c r="AR110" s="5"/>
      <c r="AS110" s="5"/>
      <c r="AT110" s="5"/>
      <c r="AU110" s="5"/>
      <c r="AV110" s="5"/>
      <c r="AW110" s="5"/>
      <c r="AX110" s="5"/>
      <c r="AY110" s="5"/>
      <c r="AZ110" s="5"/>
      <c r="BA110" s="5"/>
      <c r="BB110" s="6" t="s">
        <v>69</v>
      </c>
      <c r="BC110" s="5"/>
      <c r="BD110" s="6" t="s">
        <v>69</v>
      </c>
      <c r="BE110" s="6">
        <v>1001.0</v>
      </c>
    </row>
    <row r="111" ht="15.75" customHeight="1">
      <c r="A111" s="5"/>
      <c r="B111" s="6" t="s">
        <v>506</v>
      </c>
      <c r="C111" s="6" t="s">
        <v>507</v>
      </c>
      <c r="D111" s="6" t="s">
        <v>508</v>
      </c>
      <c r="E111" s="6">
        <v>6.0</v>
      </c>
      <c r="F111" s="5"/>
      <c r="G111" s="5"/>
      <c r="H111" s="6" t="s">
        <v>426</v>
      </c>
      <c r="I111" s="10"/>
      <c r="J111" s="10"/>
      <c r="K111" s="6" t="s">
        <v>246</v>
      </c>
      <c r="L111" s="6" t="s">
        <v>72</v>
      </c>
      <c r="M111" s="5"/>
      <c r="N111" s="5"/>
      <c r="O111" s="5"/>
      <c r="P111" s="5"/>
      <c r="Q111" s="6" t="s">
        <v>509</v>
      </c>
      <c r="R111" s="6"/>
      <c r="S111" s="6" t="s">
        <v>510</v>
      </c>
      <c r="T111" s="5"/>
      <c r="U111" s="5"/>
      <c r="V111" s="5"/>
      <c r="W111" s="5"/>
      <c r="X111" s="5"/>
      <c r="Y111" s="8">
        <f t="shared" si="1"/>
        <v>45901.32789</v>
      </c>
      <c r="Z111" s="5"/>
      <c r="AA111" s="6" t="s">
        <v>66</v>
      </c>
      <c r="AB111" s="6" t="s">
        <v>67</v>
      </c>
      <c r="AC111" s="5"/>
      <c r="AD111" s="5"/>
      <c r="AE111" s="5"/>
      <c r="AF111" s="5"/>
      <c r="AG111" s="5"/>
      <c r="AH111" s="5"/>
      <c r="AI111" s="5"/>
      <c r="AJ111" s="5"/>
      <c r="AK111" s="5"/>
      <c r="AL111" s="6" t="s">
        <v>63</v>
      </c>
      <c r="AM111" s="5"/>
      <c r="AN111" s="5"/>
      <c r="AO111" s="5"/>
      <c r="AP111" s="5"/>
      <c r="AQ111" s="5"/>
      <c r="AR111" s="5"/>
      <c r="AS111" s="5"/>
      <c r="AT111" s="5"/>
      <c r="AU111" s="5"/>
      <c r="AV111" s="5"/>
      <c r="AW111" s="5"/>
      <c r="AX111" s="5"/>
      <c r="AY111" s="5"/>
      <c r="AZ111" s="5"/>
      <c r="BA111" s="5"/>
      <c r="BB111" s="6" t="s">
        <v>69</v>
      </c>
      <c r="BC111" s="5"/>
      <c r="BD111" s="6" t="s">
        <v>69</v>
      </c>
      <c r="BE111" s="6">
        <v>1001.0</v>
      </c>
    </row>
    <row r="112" ht="15.75" customHeight="1">
      <c r="A112" s="6">
        <v>733.0</v>
      </c>
      <c r="B112" s="6" t="s">
        <v>375</v>
      </c>
      <c r="C112" s="6" t="s">
        <v>511</v>
      </c>
      <c r="D112" s="5"/>
      <c r="E112" s="6">
        <v>9.0</v>
      </c>
      <c r="F112" s="5"/>
      <c r="G112" s="5"/>
      <c r="H112" s="5"/>
      <c r="I112" s="10"/>
      <c r="J112" s="10"/>
      <c r="K112" s="6" t="s">
        <v>246</v>
      </c>
      <c r="L112" s="6" t="s">
        <v>72</v>
      </c>
      <c r="M112" s="5"/>
      <c r="N112" s="5"/>
      <c r="O112" s="5"/>
      <c r="P112" s="5"/>
      <c r="Q112" s="6" t="s">
        <v>63</v>
      </c>
      <c r="R112" s="5"/>
      <c r="S112" s="6" t="s">
        <v>512</v>
      </c>
      <c r="T112" s="5"/>
      <c r="U112" s="5"/>
      <c r="V112" s="5"/>
      <c r="W112" s="5"/>
      <c r="X112" s="5"/>
      <c r="Y112" s="8">
        <f t="shared" si="1"/>
        <v>45901.32789</v>
      </c>
      <c r="Z112" s="5"/>
      <c r="AA112" s="6" t="s">
        <v>66</v>
      </c>
      <c r="AB112" s="6" t="s">
        <v>67</v>
      </c>
      <c r="AC112" s="5"/>
      <c r="AD112" s="5"/>
      <c r="AE112" s="5"/>
      <c r="AF112" s="5"/>
      <c r="AG112" s="5"/>
      <c r="AH112" s="5"/>
      <c r="AI112" s="5"/>
      <c r="AJ112" s="5"/>
      <c r="AK112" s="5"/>
      <c r="AL112" s="6" t="s">
        <v>63</v>
      </c>
      <c r="AM112" s="5"/>
      <c r="AN112" s="5"/>
      <c r="AO112" s="5"/>
      <c r="AP112" s="5"/>
      <c r="AQ112" s="5"/>
      <c r="AR112" s="5"/>
      <c r="AS112" s="5"/>
      <c r="AT112" s="5"/>
      <c r="AU112" s="5"/>
      <c r="AV112" s="5"/>
      <c r="AW112" s="5"/>
      <c r="AX112" s="5"/>
      <c r="AY112" s="5"/>
      <c r="AZ112" s="5"/>
      <c r="BA112" s="5"/>
      <c r="BB112" s="6" t="s">
        <v>69</v>
      </c>
      <c r="BC112" s="5"/>
      <c r="BD112" s="6" t="s">
        <v>69</v>
      </c>
      <c r="BE112" s="6">
        <v>1001.0</v>
      </c>
    </row>
    <row r="113" ht="15.75" customHeight="1">
      <c r="A113" s="5"/>
      <c r="B113" s="6" t="s">
        <v>54</v>
      </c>
      <c r="C113" s="6" t="s">
        <v>513</v>
      </c>
      <c r="D113" s="6" t="s">
        <v>514</v>
      </c>
      <c r="E113" s="6">
        <v>8.0</v>
      </c>
      <c r="F113" s="6" t="s">
        <v>515</v>
      </c>
      <c r="G113" s="6" t="s">
        <v>515</v>
      </c>
      <c r="H113" s="5"/>
      <c r="I113" s="10"/>
      <c r="J113" s="10"/>
      <c r="K113" s="6" t="s">
        <v>246</v>
      </c>
      <c r="L113" s="6" t="s">
        <v>72</v>
      </c>
      <c r="M113" s="5"/>
      <c r="N113" s="5"/>
      <c r="O113" s="5"/>
      <c r="P113" s="5"/>
      <c r="Q113" s="5"/>
      <c r="R113" s="5"/>
      <c r="S113" s="6" t="s">
        <v>516</v>
      </c>
      <c r="T113" s="5"/>
      <c r="U113" s="5"/>
      <c r="V113" s="5"/>
      <c r="W113" s="5"/>
      <c r="X113" s="5"/>
      <c r="Y113" s="8">
        <f t="shared" si="1"/>
        <v>45901.32789</v>
      </c>
      <c r="Z113" s="5"/>
      <c r="AA113" s="6" t="s">
        <v>66</v>
      </c>
      <c r="AB113" s="6" t="s">
        <v>67</v>
      </c>
      <c r="AC113" s="5"/>
      <c r="AD113" s="5"/>
      <c r="AE113" s="5"/>
      <c r="AF113" s="5"/>
      <c r="AG113" s="5"/>
      <c r="AH113" s="5"/>
      <c r="AI113" s="5"/>
      <c r="AJ113" s="5"/>
      <c r="AK113" s="5"/>
      <c r="AL113" s="6" t="s">
        <v>63</v>
      </c>
      <c r="AM113" s="5"/>
      <c r="AN113" s="5"/>
      <c r="AO113" s="5"/>
      <c r="AP113" s="5"/>
      <c r="AQ113" s="5"/>
      <c r="AR113" s="5"/>
      <c r="AS113" s="5"/>
      <c r="AT113" s="5"/>
      <c r="AU113" s="5"/>
      <c r="AV113" s="5"/>
      <c r="AW113" s="5"/>
      <c r="AX113" s="5"/>
      <c r="AY113" s="5"/>
      <c r="AZ113" s="5"/>
      <c r="BA113" s="5"/>
      <c r="BB113" s="6" t="s">
        <v>69</v>
      </c>
      <c r="BC113" s="5"/>
      <c r="BD113" s="6" t="s">
        <v>69</v>
      </c>
      <c r="BE113" s="6">
        <v>1001.0</v>
      </c>
    </row>
    <row r="114" ht="15.75" customHeight="1">
      <c r="A114" s="5"/>
      <c r="B114" s="6" t="s">
        <v>517</v>
      </c>
      <c r="C114" s="6" t="s">
        <v>518</v>
      </c>
      <c r="D114" s="5"/>
      <c r="E114" s="6">
        <v>2.0</v>
      </c>
      <c r="F114" s="6" t="s">
        <v>519</v>
      </c>
      <c r="G114" s="6" t="s">
        <v>519</v>
      </c>
      <c r="H114" s="5"/>
      <c r="I114" s="10"/>
      <c r="J114" s="10"/>
      <c r="K114" s="6" t="s">
        <v>246</v>
      </c>
      <c r="L114" s="6" t="s">
        <v>72</v>
      </c>
      <c r="M114" s="5"/>
      <c r="N114" s="5"/>
      <c r="O114" s="5"/>
      <c r="P114" s="5"/>
      <c r="Q114" s="6" t="s">
        <v>63</v>
      </c>
      <c r="R114" s="5"/>
      <c r="S114" s="6" t="s">
        <v>384</v>
      </c>
      <c r="T114" s="5"/>
      <c r="U114" s="5"/>
      <c r="V114" s="5"/>
      <c r="W114" s="5"/>
      <c r="X114" s="5"/>
      <c r="Y114" s="8">
        <f t="shared" si="1"/>
        <v>45901.32789</v>
      </c>
      <c r="Z114" s="5"/>
      <c r="AA114" s="6" t="s">
        <v>66</v>
      </c>
      <c r="AB114" s="6" t="s">
        <v>67</v>
      </c>
      <c r="AC114" s="5"/>
      <c r="AD114" s="5"/>
      <c r="AE114" s="5"/>
      <c r="AF114" s="5"/>
      <c r="AG114" s="5"/>
      <c r="AH114" s="5"/>
      <c r="AI114" s="5"/>
      <c r="AJ114" s="5"/>
      <c r="AK114" s="5"/>
      <c r="AL114" s="6" t="s">
        <v>63</v>
      </c>
      <c r="AM114" s="5"/>
      <c r="AN114" s="5"/>
      <c r="AO114" s="5"/>
      <c r="AP114" s="5"/>
      <c r="AQ114" s="5"/>
      <c r="AR114" s="5"/>
      <c r="AS114" s="5"/>
      <c r="AT114" s="5"/>
      <c r="AU114" s="5"/>
      <c r="AV114" s="5"/>
      <c r="AW114" s="5"/>
      <c r="AX114" s="5"/>
      <c r="AY114" s="5"/>
      <c r="AZ114" s="5"/>
      <c r="BA114" s="5"/>
      <c r="BB114" s="6" t="s">
        <v>69</v>
      </c>
      <c r="BC114" s="5"/>
      <c r="BD114" s="6" t="s">
        <v>69</v>
      </c>
      <c r="BE114" s="6">
        <v>1001.0</v>
      </c>
    </row>
    <row r="115" ht="15.75" customHeight="1">
      <c r="A115" s="5"/>
      <c r="B115" s="6" t="s">
        <v>520</v>
      </c>
      <c r="C115" s="6" t="s">
        <v>488</v>
      </c>
      <c r="D115" s="6" t="s">
        <v>521</v>
      </c>
      <c r="E115" s="6">
        <v>8.0</v>
      </c>
      <c r="F115" s="5"/>
      <c r="G115" s="5"/>
      <c r="H115" s="5"/>
      <c r="I115" s="10"/>
      <c r="J115" s="10"/>
      <c r="K115" s="6" t="s">
        <v>246</v>
      </c>
      <c r="L115" s="6" t="s">
        <v>72</v>
      </c>
      <c r="M115" s="5"/>
      <c r="N115" s="5"/>
      <c r="O115" s="5"/>
      <c r="P115" s="5"/>
      <c r="Q115" s="5"/>
      <c r="R115" s="5"/>
      <c r="S115" s="6" t="s">
        <v>522</v>
      </c>
      <c r="T115" s="5"/>
      <c r="U115" s="5"/>
      <c r="V115" s="5"/>
      <c r="W115" s="5"/>
      <c r="X115" s="5"/>
      <c r="Y115" s="8">
        <f t="shared" si="1"/>
        <v>45901.32789</v>
      </c>
      <c r="Z115" s="5"/>
      <c r="AA115" s="6" t="s">
        <v>66</v>
      </c>
      <c r="AB115" s="6" t="s">
        <v>67</v>
      </c>
      <c r="AC115" s="5"/>
      <c r="AD115" s="5"/>
      <c r="AE115" s="5"/>
      <c r="AF115" s="5"/>
      <c r="AG115" s="5"/>
      <c r="AH115" s="5"/>
      <c r="AI115" s="5"/>
      <c r="AJ115" s="5"/>
      <c r="AK115" s="5"/>
      <c r="AL115" s="6" t="s">
        <v>63</v>
      </c>
      <c r="AM115" s="5"/>
      <c r="AN115" s="5"/>
      <c r="AO115" s="5"/>
      <c r="AP115" s="5"/>
      <c r="AQ115" s="5"/>
      <c r="AR115" s="5"/>
      <c r="AS115" s="5"/>
      <c r="AT115" s="5"/>
      <c r="AU115" s="5"/>
      <c r="AV115" s="5"/>
      <c r="AW115" s="5"/>
      <c r="AX115" s="5"/>
      <c r="AY115" s="5"/>
      <c r="AZ115" s="5"/>
      <c r="BA115" s="5"/>
      <c r="BB115" s="6" t="s">
        <v>69</v>
      </c>
      <c r="BC115" s="5"/>
      <c r="BD115" s="6" t="s">
        <v>69</v>
      </c>
      <c r="BE115" s="6">
        <v>1001.0</v>
      </c>
    </row>
    <row r="116" ht="15.75" customHeight="1">
      <c r="A116" s="5"/>
      <c r="B116" s="6" t="s">
        <v>523</v>
      </c>
      <c r="C116" s="6" t="s">
        <v>524</v>
      </c>
      <c r="D116" s="6" t="s">
        <v>525</v>
      </c>
      <c r="E116" s="6">
        <v>4.0</v>
      </c>
      <c r="F116" s="5"/>
      <c r="G116" s="5"/>
      <c r="H116" s="6" t="s">
        <v>72</v>
      </c>
      <c r="I116" s="10"/>
      <c r="J116" s="10"/>
      <c r="K116" s="6" t="s">
        <v>246</v>
      </c>
      <c r="L116" s="6" t="s">
        <v>72</v>
      </c>
      <c r="M116" s="5"/>
      <c r="N116" s="5"/>
      <c r="O116" s="5"/>
      <c r="P116" s="5"/>
      <c r="Q116" s="6" t="s">
        <v>63</v>
      </c>
      <c r="R116" s="5"/>
      <c r="S116" s="6" t="s">
        <v>526</v>
      </c>
      <c r="T116" s="5"/>
      <c r="U116" s="5"/>
      <c r="V116" s="5"/>
      <c r="W116" s="5"/>
      <c r="X116" s="5"/>
      <c r="Y116" s="8">
        <f t="shared" si="1"/>
        <v>45901.32789</v>
      </c>
      <c r="Z116" s="5"/>
      <c r="AA116" s="6" t="s">
        <v>66</v>
      </c>
      <c r="AB116" s="6" t="s">
        <v>67</v>
      </c>
      <c r="AC116" s="5"/>
      <c r="AD116" s="5"/>
      <c r="AE116" s="5"/>
      <c r="AF116" s="5"/>
      <c r="AG116" s="5"/>
      <c r="AH116" s="5"/>
      <c r="AI116" s="5"/>
      <c r="AJ116" s="5"/>
      <c r="AK116" s="5"/>
      <c r="AL116" s="6" t="s">
        <v>63</v>
      </c>
      <c r="AM116" s="5"/>
      <c r="AN116" s="5"/>
      <c r="AO116" s="5"/>
      <c r="AP116" s="5"/>
      <c r="AQ116" s="5"/>
      <c r="AR116" s="5"/>
      <c r="AS116" s="5"/>
      <c r="AT116" s="5"/>
      <c r="AU116" s="5"/>
      <c r="AV116" s="5"/>
      <c r="AW116" s="5"/>
      <c r="AX116" s="5"/>
      <c r="AY116" s="5"/>
      <c r="AZ116" s="5"/>
      <c r="BA116" s="5"/>
      <c r="BB116" s="6" t="s">
        <v>69</v>
      </c>
      <c r="BC116" s="5"/>
      <c r="BD116" s="6" t="s">
        <v>69</v>
      </c>
      <c r="BE116" s="6">
        <v>1001.0</v>
      </c>
    </row>
    <row r="117" ht="15.75" customHeight="1">
      <c r="A117" s="6">
        <v>734.0</v>
      </c>
      <c r="B117" s="6" t="s">
        <v>366</v>
      </c>
      <c r="C117" s="6" t="s">
        <v>511</v>
      </c>
      <c r="D117" s="5"/>
      <c r="E117" s="6">
        <v>9.0</v>
      </c>
      <c r="F117" s="5"/>
      <c r="G117" s="5"/>
      <c r="H117" s="5"/>
      <c r="I117" s="10"/>
      <c r="J117" s="10"/>
      <c r="K117" s="6" t="s">
        <v>246</v>
      </c>
      <c r="L117" s="6" t="s">
        <v>72</v>
      </c>
      <c r="M117" s="5"/>
      <c r="N117" s="5"/>
      <c r="O117" s="5"/>
      <c r="P117" s="5"/>
      <c r="Q117" s="6" t="s">
        <v>63</v>
      </c>
      <c r="R117" s="5"/>
      <c r="S117" s="6" t="s">
        <v>527</v>
      </c>
      <c r="T117" s="5"/>
      <c r="U117" s="5"/>
      <c r="V117" s="5"/>
      <c r="W117" s="5"/>
      <c r="X117" s="5"/>
      <c r="Y117" s="8">
        <f t="shared" si="1"/>
        <v>45901.32789</v>
      </c>
      <c r="Z117" s="5"/>
      <c r="AA117" s="6" t="s">
        <v>66</v>
      </c>
      <c r="AB117" s="6" t="s">
        <v>67</v>
      </c>
      <c r="AC117" s="5"/>
      <c r="AD117" s="5"/>
      <c r="AE117" s="5"/>
      <c r="AF117" s="5"/>
      <c r="AG117" s="5"/>
      <c r="AH117" s="5"/>
      <c r="AI117" s="5"/>
      <c r="AJ117" s="5"/>
      <c r="AK117" s="5"/>
      <c r="AL117" s="6" t="s">
        <v>63</v>
      </c>
      <c r="AM117" s="5"/>
      <c r="AN117" s="5"/>
      <c r="AO117" s="5"/>
      <c r="AP117" s="5"/>
      <c r="AQ117" s="5"/>
      <c r="AR117" s="5"/>
      <c r="AS117" s="5"/>
      <c r="AT117" s="5"/>
      <c r="AU117" s="5"/>
      <c r="AV117" s="5"/>
      <c r="AW117" s="5"/>
      <c r="AX117" s="5"/>
      <c r="AY117" s="5"/>
      <c r="AZ117" s="5"/>
      <c r="BA117" s="5"/>
      <c r="BB117" s="6" t="s">
        <v>69</v>
      </c>
      <c r="BC117" s="5"/>
      <c r="BD117" s="6" t="s">
        <v>69</v>
      </c>
      <c r="BE117" s="6">
        <v>1001.0</v>
      </c>
    </row>
    <row r="118" ht="15.75" customHeight="1">
      <c r="A118" s="5"/>
      <c r="B118" s="6" t="s">
        <v>528</v>
      </c>
      <c r="C118" s="6" t="s">
        <v>513</v>
      </c>
      <c r="D118" s="6" t="s">
        <v>529</v>
      </c>
      <c r="E118" s="6">
        <v>2.0</v>
      </c>
      <c r="F118" s="5"/>
      <c r="G118" s="5"/>
      <c r="H118" s="5"/>
      <c r="I118" s="10"/>
      <c r="J118" s="10"/>
      <c r="K118" s="6" t="s">
        <v>246</v>
      </c>
      <c r="L118" s="6" t="s">
        <v>72</v>
      </c>
      <c r="M118" s="5"/>
      <c r="N118" s="5"/>
      <c r="O118" s="5"/>
      <c r="P118" s="5"/>
      <c r="Q118" s="6" t="s">
        <v>63</v>
      </c>
      <c r="R118" s="5"/>
      <c r="S118" s="6" t="s">
        <v>530</v>
      </c>
      <c r="T118" s="5"/>
      <c r="U118" s="5"/>
      <c r="V118" s="5"/>
      <c r="W118" s="5"/>
      <c r="X118" s="5"/>
      <c r="Y118" s="8">
        <f t="shared" si="1"/>
        <v>45901.32789</v>
      </c>
      <c r="Z118" s="5"/>
      <c r="AA118" s="6" t="s">
        <v>66</v>
      </c>
      <c r="AB118" s="6" t="s">
        <v>67</v>
      </c>
      <c r="AC118" s="5"/>
      <c r="AD118" s="5"/>
      <c r="AE118" s="5"/>
      <c r="AF118" s="5"/>
      <c r="AG118" s="5"/>
      <c r="AH118" s="5"/>
      <c r="AI118" s="5"/>
      <c r="AJ118" s="5"/>
      <c r="AK118" s="5"/>
      <c r="AL118" s="6" t="s">
        <v>63</v>
      </c>
      <c r="AM118" s="5"/>
      <c r="AN118" s="5"/>
      <c r="AO118" s="5"/>
      <c r="AP118" s="5"/>
      <c r="AQ118" s="5"/>
      <c r="AR118" s="5"/>
      <c r="AS118" s="5"/>
      <c r="AT118" s="5"/>
      <c r="AU118" s="5"/>
      <c r="AV118" s="5"/>
      <c r="AW118" s="5"/>
      <c r="AX118" s="5"/>
      <c r="AY118" s="5"/>
      <c r="AZ118" s="5"/>
      <c r="BA118" s="5"/>
      <c r="BB118" s="6" t="s">
        <v>69</v>
      </c>
      <c r="BC118" s="5"/>
      <c r="BD118" s="6" t="s">
        <v>69</v>
      </c>
      <c r="BE118" s="6">
        <v>1001.0</v>
      </c>
    </row>
    <row r="119" ht="15.75" customHeight="1">
      <c r="A119" s="5"/>
      <c r="B119" s="6" t="s">
        <v>133</v>
      </c>
      <c r="C119" s="6" t="s">
        <v>531</v>
      </c>
      <c r="D119" s="6" t="s">
        <v>532</v>
      </c>
      <c r="E119" s="6">
        <v>8.0</v>
      </c>
      <c r="F119" s="5"/>
      <c r="G119" s="5"/>
      <c r="H119" s="5"/>
      <c r="I119" s="10"/>
      <c r="J119" s="10"/>
      <c r="K119" s="6" t="s">
        <v>246</v>
      </c>
      <c r="L119" s="6" t="s">
        <v>72</v>
      </c>
      <c r="M119" s="5"/>
      <c r="N119" s="5"/>
      <c r="O119" s="5"/>
      <c r="P119" s="5"/>
      <c r="Q119" s="5"/>
      <c r="R119" s="5"/>
      <c r="S119" s="6" t="s">
        <v>533</v>
      </c>
      <c r="T119" s="5"/>
      <c r="U119" s="5"/>
      <c r="V119" s="5"/>
      <c r="W119" s="5"/>
      <c r="X119" s="5"/>
      <c r="Y119" s="8">
        <f t="shared" si="1"/>
        <v>45901.32789</v>
      </c>
      <c r="Z119" s="5"/>
      <c r="AA119" s="6" t="s">
        <v>66</v>
      </c>
      <c r="AB119" s="6" t="s">
        <v>67</v>
      </c>
      <c r="AC119" s="5"/>
      <c r="AD119" s="5"/>
      <c r="AE119" s="5"/>
      <c r="AF119" s="5"/>
      <c r="AG119" s="5"/>
      <c r="AH119" s="5"/>
      <c r="AI119" s="5"/>
      <c r="AJ119" s="5"/>
      <c r="AK119" s="5"/>
      <c r="AL119" s="6" t="s">
        <v>63</v>
      </c>
      <c r="AM119" s="5"/>
      <c r="AN119" s="5"/>
      <c r="AO119" s="5"/>
      <c r="AP119" s="5"/>
      <c r="AQ119" s="5"/>
      <c r="AR119" s="5"/>
      <c r="AS119" s="5"/>
      <c r="AT119" s="5"/>
      <c r="AU119" s="5"/>
      <c r="AV119" s="5"/>
      <c r="AW119" s="5"/>
      <c r="AX119" s="5"/>
      <c r="AY119" s="5"/>
      <c r="AZ119" s="5"/>
      <c r="BA119" s="5"/>
      <c r="BB119" s="6" t="s">
        <v>69</v>
      </c>
      <c r="BC119" s="5"/>
      <c r="BD119" s="6" t="s">
        <v>69</v>
      </c>
      <c r="BE119" s="6">
        <v>1001.0</v>
      </c>
    </row>
    <row r="120" ht="15.75" customHeight="1">
      <c r="A120" s="6">
        <v>738.0</v>
      </c>
      <c r="B120" s="6" t="s">
        <v>352</v>
      </c>
      <c r="C120" s="6" t="s">
        <v>534</v>
      </c>
      <c r="D120" s="5"/>
      <c r="E120" s="6">
        <v>9.0</v>
      </c>
      <c r="F120" s="5"/>
      <c r="G120" s="5"/>
      <c r="H120" s="5"/>
      <c r="I120" s="10"/>
      <c r="J120" s="10"/>
      <c r="K120" s="6" t="s">
        <v>246</v>
      </c>
      <c r="L120" s="6" t="s">
        <v>72</v>
      </c>
      <c r="M120" s="5"/>
      <c r="N120" s="5"/>
      <c r="O120" s="5"/>
      <c r="P120" s="5"/>
      <c r="Q120" s="6" t="s">
        <v>63</v>
      </c>
      <c r="R120" s="5"/>
      <c r="S120" s="6" t="s">
        <v>499</v>
      </c>
      <c r="T120" s="5"/>
      <c r="U120" s="5"/>
      <c r="V120" s="5"/>
      <c r="W120" s="5"/>
      <c r="X120" s="5"/>
      <c r="Y120" s="8">
        <f t="shared" si="1"/>
        <v>45901.32789</v>
      </c>
      <c r="Z120" s="5"/>
      <c r="AA120" s="6" t="s">
        <v>66</v>
      </c>
      <c r="AB120" s="6" t="s">
        <v>67</v>
      </c>
      <c r="AC120" s="5"/>
      <c r="AD120" s="5"/>
      <c r="AE120" s="5"/>
      <c r="AF120" s="5"/>
      <c r="AG120" s="5"/>
      <c r="AH120" s="5"/>
      <c r="AI120" s="5"/>
      <c r="AJ120" s="5"/>
      <c r="AK120" s="5"/>
      <c r="AL120" s="6" t="s">
        <v>63</v>
      </c>
      <c r="AM120" s="5"/>
      <c r="AN120" s="5"/>
      <c r="AO120" s="5"/>
      <c r="AP120" s="5"/>
      <c r="AQ120" s="5"/>
      <c r="AR120" s="5"/>
      <c r="AS120" s="5"/>
      <c r="AT120" s="5"/>
      <c r="AU120" s="5"/>
      <c r="AV120" s="5"/>
      <c r="AW120" s="5"/>
      <c r="AX120" s="5"/>
      <c r="AY120" s="5"/>
      <c r="AZ120" s="5"/>
      <c r="BA120" s="5"/>
      <c r="BB120" s="6" t="s">
        <v>69</v>
      </c>
      <c r="BC120" s="5"/>
      <c r="BD120" s="6" t="s">
        <v>69</v>
      </c>
      <c r="BE120" s="6">
        <v>1001.0</v>
      </c>
    </row>
    <row r="121" ht="15.75" customHeight="1">
      <c r="A121" s="5"/>
      <c r="B121" s="6" t="s">
        <v>535</v>
      </c>
      <c r="C121" s="6" t="s">
        <v>536</v>
      </c>
      <c r="D121" s="6" t="s">
        <v>537</v>
      </c>
      <c r="E121" s="6">
        <v>8.0</v>
      </c>
      <c r="F121" s="5"/>
      <c r="G121" s="5"/>
      <c r="H121" s="6" t="s">
        <v>111</v>
      </c>
      <c r="I121" s="10"/>
      <c r="J121" s="10"/>
      <c r="K121" s="6" t="s">
        <v>246</v>
      </c>
      <c r="L121" s="6" t="s">
        <v>72</v>
      </c>
      <c r="M121" s="5"/>
      <c r="N121" s="5"/>
      <c r="O121" s="5"/>
      <c r="P121" s="5"/>
      <c r="Q121" s="5"/>
      <c r="R121" s="5"/>
      <c r="S121" s="5"/>
      <c r="T121" s="5"/>
      <c r="U121" s="5"/>
      <c r="V121" s="5"/>
      <c r="W121" s="5"/>
      <c r="X121" s="5"/>
      <c r="Y121" s="8">
        <f t="shared" si="1"/>
        <v>45901.32789</v>
      </c>
      <c r="Z121" s="5"/>
      <c r="AA121" s="6" t="s">
        <v>66</v>
      </c>
      <c r="AB121" s="6" t="s">
        <v>67</v>
      </c>
      <c r="AC121" s="5"/>
      <c r="AD121" s="5"/>
      <c r="AE121" s="5"/>
      <c r="AF121" s="5"/>
      <c r="AG121" s="5"/>
      <c r="AH121" s="5"/>
      <c r="AI121" s="5"/>
      <c r="AJ121" s="5"/>
      <c r="AK121" s="5"/>
      <c r="AL121" s="6" t="s">
        <v>63</v>
      </c>
      <c r="AM121" s="5"/>
      <c r="AN121" s="5"/>
      <c r="AO121" s="5"/>
      <c r="AP121" s="5"/>
      <c r="AQ121" s="5"/>
      <c r="AR121" s="5"/>
      <c r="AS121" s="5"/>
      <c r="AT121" s="5"/>
      <c r="AU121" s="5"/>
      <c r="AV121" s="5"/>
      <c r="AW121" s="5"/>
      <c r="AX121" s="5"/>
      <c r="AY121" s="5"/>
      <c r="AZ121" s="5"/>
      <c r="BA121" s="5"/>
      <c r="BB121" s="6" t="s">
        <v>69</v>
      </c>
      <c r="BC121" s="5"/>
      <c r="BD121" s="6" t="s">
        <v>69</v>
      </c>
      <c r="BE121" s="6">
        <v>1001.0</v>
      </c>
    </row>
    <row r="122" ht="15.75" customHeight="1">
      <c r="A122" s="5"/>
      <c r="B122" s="6" t="s">
        <v>538</v>
      </c>
      <c r="C122" s="6" t="s">
        <v>539</v>
      </c>
      <c r="D122" s="6" t="s">
        <v>540</v>
      </c>
      <c r="E122" s="6">
        <v>6.0</v>
      </c>
      <c r="F122" s="5"/>
      <c r="G122" s="5"/>
      <c r="H122" s="6" t="s">
        <v>426</v>
      </c>
      <c r="I122" s="10"/>
      <c r="J122" s="10"/>
      <c r="K122" s="6" t="s">
        <v>246</v>
      </c>
      <c r="L122" s="6" t="s">
        <v>72</v>
      </c>
      <c r="M122" s="5"/>
      <c r="N122" s="5"/>
      <c r="O122" s="5"/>
      <c r="P122" s="5"/>
      <c r="Q122" s="6" t="s">
        <v>509</v>
      </c>
      <c r="R122" s="5"/>
      <c r="S122" s="6" t="s">
        <v>446</v>
      </c>
      <c r="T122" s="5"/>
      <c r="U122" s="5"/>
      <c r="V122" s="5"/>
      <c r="W122" s="5"/>
      <c r="X122" s="5"/>
      <c r="Y122" s="8">
        <f t="shared" si="1"/>
        <v>45901.32789</v>
      </c>
      <c r="Z122" s="5"/>
      <c r="AA122" s="6" t="s">
        <v>66</v>
      </c>
      <c r="AB122" s="6" t="s">
        <v>67</v>
      </c>
      <c r="AC122" s="5"/>
      <c r="AD122" s="5"/>
      <c r="AE122" s="5"/>
      <c r="AF122" s="5"/>
      <c r="AG122" s="5"/>
      <c r="AH122" s="5"/>
      <c r="AI122" s="5"/>
      <c r="AJ122" s="5"/>
      <c r="AK122" s="5"/>
      <c r="AL122" s="6" t="s">
        <v>63</v>
      </c>
      <c r="AM122" s="5"/>
      <c r="AN122" s="5"/>
      <c r="AO122" s="5"/>
      <c r="AP122" s="5"/>
      <c r="AQ122" s="5"/>
      <c r="AR122" s="5"/>
      <c r="AS122" s="5"/>
      <c r="AT122" s="5"/>
      <c r="AU122" s="5"/>
      <c r="AV122" s="5"/>
      <c r="AW122" s="5"/>
      <c r="AX122" s="5"/>
      <c r="AY122" s="5"/>
      <c r="AZ122" s="5"/>
      <c r="BA122" s="5"/>
      <c r="BB122" s="6" t="s">
        <v>69</v>
      </c>
      <c r="BC122" s="5"/>
      <c r="BD122" s="6" t="s">
        <v>69</v>
      </c>
      <c r="BE122" s="6">
        <v>1001.0</v>
      </c>
    </row>
    <row r="123" ht="15.75" customHeight="1">
      <c r="A123" s="5"/>
      <c r="B123" s="6" t="s">
        <v>541</v>
      </c>
      <c r="C123" s="6" t="s">
        <v>542</v>
      </c>
      <c r="D123" s="5"/>
      <c r="E123" s="6">
        <v>2.0</v>
      </c>
      <c r="F123" s="5"/>
      <c r="G123" s="5"/>
      <c r="H123" s="5"/>
      <c r="I123" s="10"/>
      <c r="J123" s="10"/>
      <c r="K123" s="6" t="s">
        <v>246</v>
      </c>
      <c r="L123" s="6" t="s">
        <v>72</v>
      </c>
      <c r="M123" s="5"/>
      <c r="N123" s="5"/>
      <c r="O123" s="5"/>
      <c r="P123" s="5"/>
      <c r="Q123" s="6" t="s">
        <v>171</v>
      </c>
      <c r="R123" s="5"/>
      <c r="S123" s="6" t="s">
        <v>384</v>
      </c>
      <c r="T123" s="5"/>
      <c r="U123" s="5"/>
      <c r="V123" s="5"/>
      <c r="W123" s="5"/>
      <c r="X123" s="5"/>
      <c r="Y123" s="8">
        <f t="shared" si="1"/>
        <v>45901.32789</v>
      </c>
      <c r="Z123" s="5"/>
      <c r="AA123" s="6" t="s">
        <v>66</v>
      </c>
      <c r="AB123" s="6" t="s">
        <v>67</v>
      </c>
      <c r="AC123" s="5"/>
      <c r="AD123" s="5"/>
      <c r="AE123" s="5"/>
      <c r="AF123" s="5"/>
      <c r="AG123" s="5"/>
      <c r="AH123" s="5"/>
      <c r="AI123" s="5"/>
      <c r="AJ123" s="5"/>
      <c r="AK123" s="5"/>
      <c r="AL123" s="6" t="s">
        <v>63</v>
      </c>
      <c r="AM123" s="5"/>
      <c r="AN123" s="5"/>
      <c r="AO123" s="5"/>
      <c r="AP123" s="5"/>
      <c r="AQ123" s="5"/>
      <c r="AR123" s="5"/>
      <c r="AS123" s="5"/>
      <c r="AT123" s="5"/>
      <c r="AU123" s="5"/>
      <c r="AV123" s="5"/>
      <c r="AW123" s="5"/>
      <c r="AX123" s="5"/>
      <c r="AY123" s="5"/>
      <c r="AZ123" s="5"/>
      <c r="BA123" s="5"/>
      <c r="BB123" s="6" t="s">
        <v>69</v>
      </c>
      <c r="BC123" s="5"/>
      <c r="BD123" s="6" t="s">
        <v>69</v>
      </c>
      <c r="BE123" s="6">
        <v>1001.0</v>
      </c>
    </row>
    <row r="124" ht="15.75" customHeight="1">
      <c r="A124" s="5"/>
      <c r="B124" s="6" t="s">
        <v>543</v>
      </c>
      <c r="C124" s="6" t="s">
        <v>544</v>
      </c>
      <c r="D124" s="6" t="s">
        <v>545</v>
      </c>
      <c r="E124" s="6">
        <v>4.0</v>
      </c>
      <c r="F124" s="6"/>
      <c r="G124" s="5"/>
      <c r="H124" s="6" t="s">
        <v>72</v>
      </c>
      <c r="I124" s="10"/>
      <c r="J124" s="10"/>
      <c r="K124" s="6" t="s">
        <v>246</v>
      </c>
      <c r="L124" s="6" t="s">
        <v>72</v>
      </c>
      <c r="M124" s="5"/>
      <c r="N124" s="5"/>
      <c r="O124" s="5"/>
      <c r="P124" s="5"/>
      <c r="Q124" s="6" t="s">
        <v>63</v>
      </c>
      <c r="R124" s="5"/>
      <c r="S124" s="6" t="s">
        <v>435</v>
      </c>
      <c r="T124" s="5"/>
      <c r="U124" s="5"/>
      <c r="V124" s="5"/>
      <c r="W124" s="5"/>
      <c r="X124" s="5"/>
      <c r="Y124" s="8">
        <f t="shared" si="1"/>
        <v>45901.32789</v>
      </c>
      <c r="Z124" s="5"/>
      <c r="AA124" s="6" t="s">
        <v>66</v>
      </c>
      <c r="AB124" s="6" t="s">
        <v>67</v>
      </c>
      <c r="AC124" s="5"/>
      <c r="AD124" s="5"/>
      <c r="AE124" s="5"/>
      <c r="AF124" s="5"/>
      <c r="AG124" s="5"/>
      <c r="AH124" s="5"/>
      <c r="AI124" s="5"/>
      <c r="AJ124" s="5"/>
      <c r="AK124" s="5"/>
      <c r="AL124" s="6" t="s">
        <v>63</v>
      </c>
      <c r="AM124" s="5"/>
      <c r="AN124" s="5"/>
      <c r="AO124" s="5"/>
      <c r="AP124" s="5"/>
      <c r="AQ124" s="5"/>
      <c r="AR124" s="5"/>
      <c r="AS124" s="5"/>
      <c r="AT124" s="5"/>
      <c r="AU124" s="5"/>
      <c r="AV124" s="5"/>
      <c r="AW124" s="5"/>
      <c r="AX124" s="5"/>
      <c r="AY124" s="5"/>
      <c r="AZ124" s="5"/>
      <c r="BA124" s="5"/>
      <c r="BB124" s="6" t="s">
        <v>69</v>
      </c>
      <c r="BC124" s="5"/>
      <c r="BD124" s="6" t="s">
        <v>69</v>
      </c>
      <c r="BE124" s="6">
        <v>1001.0</v>
      </c>
    </row>
    <row r="125" ht="15.75" customHeight="1">
      <c r="A125" s="5"/>
      <c r="B125" s="6" t="s">
        <v>546</v>
      </c>
      <c r="C125" s="6" t="s">
        <v>534</v>
      </c>
      <c r="D125" s="5"/>
      <c r="E125" s="6">
        <v>9.0</v>
      </c>
      <c r="F125" s="5"/>
      <c r="G125" s="5"/>
      <c r="H125" s="5"/>
      <c r="I125" s="10"/>
      <c r="J125" s="10"/>
      <c r="K125" s="6" t="s">
        <v>246</v>
      </c>
      <c r="L125" s="6" t="s">
        <v>72</v>
      </c>
      <c r="M125" s="5"/>
      <c r="N125" s="5"/>
      <c r="O125" s="5"/>
      <c r="P125" s="5"/>
      <c r="Q125" s="6" t="s">
        <v>63</v>
      </c>
      <c r="R125" s="5"/>
      <c r="S125" s="6" t="s">
        <v>191</v>
      </c>
      <c r="T125" s="5"/>
      <c r="U125" s="5"/>
      <c r="V125" s="5"/>
      <c r="W125" s="5"/>
      <c r="X125" s="5"/>
      <c r="Y125" s="8">
        <f t="shared" si="1"/>
        <v>45901.32789</v>
      </c>
      <c r="Z125" s="5"/>
      <c r="AA125" s="6" t="s">
        <v>66</v>
      </c>
      <c r="AB125" s="6" t="s">
        <v>67</v>
      </c>
      <c r="AC125" s="5"/>
      <c r="AD125" s="5"/>
      <c r="AE125" s="5"/>
      <c r="AF125" s="5"/>
      <c r="AG125" s="5"/>
      <c r="AH125" s="5"/>
      <c r="AI125" s="5"/>
      <c r="AJ125" s="5"/>
      <c r="AK125" s="5"/>
      <c r="AL125" s="6" t="s">
        <v>63</v>
      </c>
      <c r="AM125" s="5"/>
      <c r="AN125" s="5"/>
      <c r="AO125" s="5"/>
      <c r="AP125" s="5"/>
      <c r="AQ125" s="5"/>
      <c r="AR125" s="5"/>
      <c r="AS125" s="5"/>
      <c r="AT125" s="5"/>
      <c r="AU125" s="5"/>
      <c r="AV125" s="5"/>
      <c r="AW125" s="5"/>
      <c r="AX125" s="5"/>
      <c r="AY125" s="5"/>
      <c r="AZ125" s="5"/>
      <c r="BA125" s="5"/>
      <c r="BB125" s="6" t="s">
        <v>69</v>
      </c>
      <c r="BC125" s="5"/>
      <c r="BD125" s="6" t="s">
        <v>69</v>
      </c>
      <c r="BE125" s="6">
        <v>1001.0</v>
      </c>
    </row>
    <row r="126" ht="15.75" customHeight="1">
      <c r="A126" s="5"/>
      <c r="B126" s="6" t="s">
        <v>547</v>
      </c>
      <c r="C126" s="6" t="s">
        <v>548</v>
      </c>
      <c r="D126" s="6" t="s">
        <v>286</v>
      </c>
      <c r="E126" s="6">
        <v>9.0</v>
      </c>
      <c r="F126" s="5"/>
      <c r="G126" s="5"/>
      <c r="H126" s="6" t="s">
        <v>549</v>
      </c>
      <c r="I126" s="13" t="s">
        <v>549</v>
      </c>
      <c r="J126" s="13" t="s">
        <v>549</v>
      </c>
      <c r="K126" s="6" t="s">
        <v>550</v>
      </c>
      <c r="L126" s="6" t="s">
        <v>72</v>
      </c>
      <c r="M126" s="6" t="s">
        <v>550</v>
      </c>
      <c r="N126" s="6" t="s">
        <v>72</v>
      </c>
      <c r="O126" s="6">
        <v>2016.0</v>
      </c>
      <c r="P126" s="6" t="s">
        <v>551</v>
      </c>
      <c r="Q126" s="6" t="s">
        <v>63</v>
      </c>
      <c r="R126" s="6" t="s">
        <v>82</v>
      </c>
      <c r="S126" s="6" t="s">
        <v>384</v>
      </c>
      <c r="T126" s="5">
        <f>93700018140</f>
        <v>93700018140</v>
      </c>
      <c r="U126" s="5"/>
      <c r="V126" s="5"/>
      <c r="W126" s="5"/>
      <c r="X126" s="5"/>
      <c r="Y126" s="8">
        <f t="shared" si="1"/>
        <v>45901.32789</v>
      </c>
      <c r="Z126" s="5"/>
      <c r="AA126" s="6" t="s">
        <v>66</v>
      </c>
      <c r="AB126" s="6" t="s">
        <v>67</v>
      </c>
      <c r="AC126" s="5"/>
      <c r="AD126" s="5"/>
      <c r="AE126" s="5"/>
      <c r="AF126" s="5"/>
      <c r="AG126" s="5"/>
      <c r="AH126" s="5"/>
      <c r="AI126" s="5"/>
      <c r="AJ126" s="5"/>
      <c r="AK126" s="5"/>
      <c r="AL126" s="6" t="s">
        <v>63</v>
      </c>
      <c r="AM126" s="5"/>
      <c r="AN126" s="5"/>
      <c r="AO126" s="5"/>
      <c r="AP126" s="5"/>
      <c r="AQ126" s="5"/>
      <c r="AR126" s="5"/>
      <c r="AS126" s="5"/>
      <c r="AT126" s="5"/>
      <c r="AU126" s="5"/>
      <c r="AV126" s="5"/>
      <c r="AW126" s="5"/>
      <c r="AX126" s="5"/>
      <c r="AY126" s="5"/>
      <c r="AZ126" s="5"/>
      <c r="BA126" s="5"/>
      <c r="BB126" s="6" t="s">
        <v>69</v>
      </c>
      <c r="BC126" s="5"/>
      <c r="BD126" s="6" t="s">
        <v>69</v>
      </c>
      <c r="BE126" s="6">
        <v>1001.0</v>
      </c>
    </row>
    <row r="127" ht="15.75" customHeight="1">
      <c r="A127" s="5"/>
      <c r="B127" s="6" t="s">
        <v>552</v>
      </c>
      <c r="C127" s="6" t="s">
        <v>553</v>
      </c>
      <c r="D127" s="6" t="s">
        <v>554</v>
      </c>
      <c r="E127" s="6">
        <v>2.0</v>
      </c>
      <c r="F127" s="6" t="s">
        <v>555</v>
      </c>
      <c r="G127" s="5"/>
      <c r="H127" s="5"/>
      <c r="I127" s="10"/>
      <c r="J127" s="10"/>
      <c r="K127" s="5"/>
      <c r="L127" s="5"/>
      <c r="M127" s="5"/>
      <c r="N127" s="5"/>
      <c r="O127" s="5"/>
      <c r="P127" s="5"/>
      <c r="Q127" s="6" t="s">
        <v>171</v>
      </c>
      <c r="R127" s="5"/>
      <c r="S127" s="6" t="s">
        <v>556</v>
      </c>
      <c r="T127" s="5"/>
      <c r="U127" s="5"/>
      <c r="V127" s="5"/>
      <c r="W127" s="5"/>
      <c r="X127" s="5"/>
      <c r="Y127" s="8">
        <f t="shared" si="1"/>
        <v>45901.32789</v>
      </c>
      <c r="Z127" s="5"/>
      <c r="AA127" s="6" t="s">
        <v>66</v>
      </c>
      <c r="AB127" s="6" t="s">
        <v>67</v>
      </c>
      <c r="AC127" s="5"/>
      <c r="AD127" s="5"/>
      <c r="AE127" s="5"/>
      <c r="AF127" s="5"/>
      <c r="AG127" s="5"/>
      <c r="AH127" s="5"/>
      <c r="AI127" s="5"/>
      <c r="AJ127" s="5"/>
      <c r="AK127" s="5"/>
      <c r="AL127" s="6" t="s">
        <v>63</v>
      </c>
      <c r="AM127" s="5"/>
      <c r="AN127" s="5"/>
      <c r="AO127" s="5"/>
      <c r="AP127" s="5"/>
      <c r="AQ127" s="5"/>
      <c r="AR127" s="5"/>
      <c r="AS127" s="5"/>
      <c r="AT127" s="5"/>
      <c r="AU127" s="5"/>
      <c r="AV127" s="5"/>
      <c r="AW127" s="5"/>
      <c r="AX127" s="5"/>
      <c r="AY127" s="5"/>
      <c r="AZ127" s="5"/>
      <c r="BA127" s="5"/>
      <c r="BB127" s="6" t="s">
        <v>69</v>
      </c>
      <c r="BC127" s="5"/>
      <c r="BD127" s="6" t="s">
        <v>69</v>
      </c>
      <c r="BE127" s="6">
        <v>1001.0</v>
      </c>
    </row>
    <row r="128" ht="15.75" customHeight="1">
      <c r="A128" s="5"/>
      <c r="B128" s="6" t="s">
        <v>557</v>
      </c>
      <c r="C128" s="6" t="s">
        <v>558</v>
      </c>
      <c r="D128" s="5"/>
      <c r="E128" s="6">
        <v>7.0</v>
      </c>
      <c r="F128" s="5"/>
      <c r="G128" s="5"/>
      <c r="H128" s="6" t="s">
        <v>72</v>
      </c>
      <c r="I128" s="10"/>
      <c r="J128" s="10"/>
      <c r="K128" s="5"/>
      <c r="L128" s="5"/>
      <c r="M128" s="5"/>
      <c r="N128" s="5"/>
      <c r="O128" s="5"/>
      <c r="P128" s="5"/>
      <c r="Q128" s="6" t="s">
        <v>509</v>
      </c>
      <c r="R128" s="5"/>
      <c r="S128" s="6" t="s">
        <v>559</v>
      </c>
      <c r="T128" s="5"/>
      <c r="U128" s="5"/>
      <c r="V128" s="5"/>
      <c r="W128" s="5"/>
      <c r="X128" s="5"/>
      <c r="Y128" s="8">
        <f t="shared" si="1"/>
        <v>45901.32789</v>
      </c>
      <c r="Z128" s="5"/>
      <c r="AA128" s="6" t="s">
        <v>66</v>
      </c>
      <c r="AB128" s="6" t="s">
        <v>67</v>
      </c>
      <c r="AC128" s="5"/>
      <c r="AD128" s="5"/>
      <c r="AE128" s="5"/>
      <c r="AF128" s="5"/>
      <c r="AG128" s="5"/>
      <c r="AH128" s="5"/>
      <c r="AI128" s="5"/>
      <c r="AJ128" s="5"/>
      <c r="AK128" s="5"/>
      <c r="AL128" s="6" t="s">
        <v>63</v>
      </c>
      <c r="AM128" s="5"/>
      <c r="AN128" s="5"/>
      <c r="AO128" s="5"/>
      <c r="AP128" s="5"/>
      <c r="AQ128" s="5"/>
      <c r="AR128" s="5"/>
      <c r="AS128" s="5"/>
      <c r="AT128" s="5"/>
      <c r="AU128" s="5"/>
      <c r="AV128" s="5"/>
      <c r="AW128" s="5"/>
      <c r="AX128" s="5"/>
      <c r="AY128" s="5"/>
      <c r="AZ128" s="5"/>
      <c r="BA128" s="5"/>
      <c r="BB128" s="6" t="s">
        <v>69</v>
      </c>
      <c r="BC128" s="5"/>
      <c r="BD128" s="6" t="s">
        <v>69</v>
      </c>
      <c r="BE128" s="6">
        <v>1001.0</v>
      </c>
    </row>
    <row r="129" ht="15.75" customHeight="1">
      <c r="A129" s="5"/>
      <c r="B129" s="6" t="s">
        <v>179</v>
      </c>
      <c r="C129" s="6" t="s">
        <v>560</v>
      </c>
      <c r="D129" s="6" t="s">
        <v>561</v>
      </c>
      <c r="E129" s="6">
        <v>4.0</v>
      </c>
      <c r="F129" s="5"/>
      <c r="G129" s="5"/>
      <c r="H129" s="6" t="s">
        <v>72</v>
      </c>
      <c r="I129" s="10"/>
      <c r="J129" s="10"/>
      <c r="K129" s="5"/>
      <c r="L129" s="5"/>
      <c r="M129" s="5"/>
      <c r="N129" s="5"/>
      <c r="O129" s="5"/>
      <c r="P129" s="5"/>
      <c r="Q129" s="6" t="s">
        <v>63</v>
      </c>
      <c r="R129" s="5"/>
      <c r="S129" s="6" t="s">
        <v>464</v>
      </c>
      <c r="T129" s="5"/>
      <c r="U129" s="5"/>
      <c r="V129" s="5"/>
      <c r="W129" s="5"/>
      <c r="X129" s="5"/>
      <c r="Y129" s="8">
        <f t="shared" si="1"/>
        <v>45901.32789</v>
      </c>
      <c r="Z129" s="5"/>
      <c r="AA129" s="6" t="s">
        <v>66</v>
      </c>
      <c r="AB129" s="6" t="s">
        <v>67</v>
      </c>
      <c r="AC129" s="5"/>
      <c r="AD129" s="5"/>
      <c r="AE129" s="5"/>
      <c r="AF129" s="5"/>
      <c r="AG129" s="5"/>
      <c r="AH129" s="5"/>
      <c r="AI129" s="5"/>
      <c r="AJ129" s="5"/>
      <c r="AK129" s="5"/>
      <c r="AL129" s="6" t="s">
        <v>63</v>
      </c>
      <c r="AM129" s="5"/>
      <c r="AN129" s="5"/>
      <c r="AO129" s="5"/>
      <c r="AP129" s="5"/>
      <c r="AQ129" s="5"/>
      <c r="AR129" s="5"/>
      <c r="AS129" s="5"/>
      <c r="AT129" s="5"/>
      <c r="AU129" s="5"/>
      <c r="AV129" s="5"/>
      <c r="AW129" s="5"/>
      <c r="AX129" s="5"/>
      <c r="AY129" s="5"/>
      <c r="AZ129" s="5"/>
      <c r="BA129" s="5"/>
      <c r="BB129" s="6" t="s">
        <v>69</v>
      </c>
      <c r="BC129" s="5"/>
      <c r="BD129" s="6" t="s">
        <v>69</v>
      </c>
      <c r="BE129" s="6">
        <v>1001.0</v>
      </c>
    </row>
    <row r="130" ht="15.75" customHeight="1">
      <c r="A130" s="5"/>
      <c r="B130" s="6" t="s">
        <v>562</v>
      </c>
      <c r="C130" s="6" t="s">
        <v>563</v>
      </c>
      <c r="D130" s="6" t="s">
        <v>564</v>
      </c>
      <c r="E130" s="6">
        <v>2.0</v>
      </c>
      <c r="F130" s="5"/>
      <c r="G130" s="5"/>
      <c r="H130" s="6" t="s">
        <v>72</v>
      </c>
      <c r="I130" s="10"/>
      <c r="J130" s="10"/>
      <c r="K130" s="5"/>
      <c r="L130" s="6" t="s">
        <v>72</v>
      </c>
      <c r="M130" s="5"/>
      <c r="N130" s="5"/>
      <c r="O130" s="5"/>
      <c r="P130" s="5"/>
      <c r="Q130" s="6" t="s">
        <v>171</v>
      </c>
      <c r="R130" s="5"/>
      <c r="S130" s="6" t="s">
        <v>342</v>
      </c>
      <c r="T130" s="5"/>
      <c r="U130" s="5"/>
      <c r="V130" s="5"/>
      <c r="W130" s="5"/>
      <c r="X130" s="5"/>
      <c r="Y130" s="8">
        <f t="shared" si="1"/>
        <v>45901.32789</v>
      </c>
      <c r="Z130" s="5"/>
      <c r="AA130" s="6" t="s">
        <v>66</v>
      </c>
      <c r="AB130" s="6" t="s">
        <v>67</v>
      </c>
      <c r="AC130" s="5"/>
      <c r="AD130" s="5"/>
      <c r="AE130" s="5"/>
      <c r="AF130" s="5"/>
      <c r="AG130" s="5"/>
      <c r="AH130" s="5"/>
      <c r="AI130" s="5"/>
      <c r="AJ130" s="5"/>
      <c r="AK130" s="5"/>
      <c r="AL130" s="6" t="s">
        <v>63</v>
      </c>
      <c r="AM130" s="5"/>
      <c r="AN130" s="5"/>
      <c r="AO130" s="5"/>
      <c r="AP130" s="5"/>
      <c r="AQ130" s="5"/>
      <c r="AR130" s="5"/>
      <c r="AS130" s="5"/>
      <c r="AT130" s="5"/>
      <c r="AU130" s="5"/>
      <c r="AV130" s="5"/>
      <c r="AW130" s="5"/>
      <c r="AX130" s="5"/>
      <c r="AY130" s="5"/>
      <c r="AZ130" s="5"/>
      <c r="BA130" s="5"/>
      <c r="BB130" s="6" t="s">
        <v>69</v>
      </c>
      <c r="BC130" s="5"/>
      <c r="BD130" s="6" t="s">
        <v>69</v>
      </c>
      <c r="BE130" s="6">
        <v>1001.0</v>
      </c>
    </row>
    <row r="131" ht="15.75" customHeight="1">
      <c r="A131" s="5"/>
      <c r="B131" s="6" t="s">
        <v>565</v>
      </c>
      <c r="C131" s="6" t="s">
        <v>566</v>
      </c>
      <c r="D131" s="6" t="s">
        <v>567</v>
      </c>
      <c r="E131" s="6">
        <v>4.0</v>
      </c>
      <c r="F131" s="5"/>
      <c r="G131" s="5"/>
      <c r="H131" s="5"/>
      <c r="I131" s="10"/>
      <c r="J131" s="10"/>
      <c r="K131" s="5"/>
      <c r="L131" s="5"/>
      <c r="M131" s="5"/>
      <c r="N131" s="5"/>
      <c r="O131" s="5"/>
      <c r="P131" s="5"/>
      <c r="Q131" s="6" t="s">
        <v>171</v>
      </c>
      <c r="R131" s="5"/>
      <c r="S131" s="6" t="s">
        <v>568</v>
      </c>
      <c r="T131" s="5"/>
      <c r="U131" s="5"/>
      <c r="V131" s="5"/>
      <c r="W131" s="5"/>
      <c r="X131" s="5"/>
      <c r="Y131" s="8">
        <f t="shared" si="1"/>
        <v>45901.32789</v>
      </c>
      <c r="Z131" s="5"/>
      <c r="AA131" s="6" t="s">
        <v>66</v>
      </c>
      <c r="AB131" s="6" t="s">
        <v>67</v>
      </c>
      <c r="AC131" s="5"/>
      <c r="AD131" s="5"/>
      <c r="AE131" s="5"/>
      <c r="AF131" s="5"/>
      <c r="AG131" s="5"/>
      <c r="AH131" s="5"/>
      <c r="AI131" s="5"/>
      <c r="AJ131" s="5"/>
      <c r="AK131" s="5"/>
      <c r="AL131" s="6" t="s">
        <v>63</v>
      </c>
      <c r="AM131" s="5"/>
      <c r="AN131" s="5"/>
      <c r="AO131" s="5"/>
      <c r="AP131" s="5"/>
      <c r="AQ131" s="5"/>
      <c r="AR131" s="5"/>
      <c r="AS131" s="5"/>
      <c r="AT131" s="5"/>
      <c r="AU131" s="5"/>
      <c r="AV131" s="5"/>
      <c r="AW131" s="5"/>
      <c r="AX131" s="5"/>
      <c r="AY131" s="5"/>
      <c r="AZ131" s="5"/>
      <c r="BA131" s="5"/>
      <c r="BB131" s="6" t="s">
        <v>69</v>
      </c>
      <c r="BC131" s="5"/>
      <c r="BD131" s="6" t="s">
        <v>69</v>
      </c>
      <c r="BE131" s="6">
        <v>1001.0</v>
      </c>
    </row>
    <row r="132" ht="15.75" customHeight="1">
      <c r="A132" s="5"/>
      <c r="B132" s="6" t="s">
        <v>172</v>
      </c>
      <c r="C132" s="6" t="s">
        <v>286</v>
      </c>
      <c r="D132" s="6" t="s">
        <v>404</v>
      </c>
      <c r="E132" s="6">
        <v>1.0</v>
      </c>
      <c r="F132" s="5"/>
      <c r="G132" s="5"/>
      <c r="H132" s="6" t="s">
        <v>88</v>
      </c>
      <c r="I132" s="13" t="s">
        <v>88</v>
      </c>
      <c r="J132" s="13" t="s">
        <v>88</v>
      </c>
      <c r="K132" s="6" t="s">
        <v>246</v>
      </c>
      <c r="L132" s="6" t="s">
        <v>72</v>
      </c>
      <c r="M132" s="6" t="s">
        <v>550</v>
      </c>
      <c r="N132" s="6" t="s">
        <v>72</v>
      </c>
      <c r="O132" s="6">
        <v>2017.0</v>
      </c>
      <c r="P132" s="6" t="s">
        <v>177</v>
      </c>
      <c r="Q132" s="6" t="s">
        <v>171</v>
      </c>
      <c r="R132" s="6" t="s">
        <v>64</v>
      </c>
      <c r="S132" s="6" t="s">
        <v>569</v>
      </c>
      <c r="T132" s="5">
        <f>93701260652</f>
        <v>93701260652</v>
      </c>
      <c r="U132" s="5"/>
      <c r="V132" s="5"/>
      <c r="W132" s="5"/>
      <c r="X132" s="5"/>
      <c r="Y132" s="8">
        <f t="shared" si="1"/>
        <v>45901.32789</v>
      </c>
      <c r="Z132" s="5"/>
      <c r="AA132" s="6" t="s">
        <v>66</v>
      </c>
      <c r="AB132" s="6" t="s">
        <v>67</v>
      </c>
      <c r="AC132" s="5"/>
      <c r="AD132" s="5"/>
      <c r="AE132" s="5"/>
      <c r="AF132" s="5"/>
      <c r="AG132" s="5"/>
      <c r="AH132" s="5"/>
      <c r="AI132" s="5"/>
      <c r="AJ132" s="5"/>
      <c r="AK132" s="5"/>
      <c r="AL132" s="6" t="s">
        <v>63</v>
      </c>
      <c r="AM132" s="5"/>
      <c r="AN132" s="5"/>
      <c r="AO132" s="5"/>
      <c r="AP132" s="5"/>
      <c r="AQ132" s="5"/>
      <c r="AR132" s="5"/>
      <c r="AS132" s="5"/>
      <c r="AT132" s="5"/>
      <c r="AU132" s="5"/>
      <c r="AV132" s="5"/>
      <c r="AW132" s="5"/>
      <c r="AX132" s="5"/>
      <c r="AY132" s="5"/>
      <c r="AZ132" s="5"/>
      <c r="BA132" s="5"/>
      <c r="BB132" s="6" t="s">
        <v>69</v>
      </c>
      <c r="BC132" s="5"/>
      <c r="BD132" s="6" t="s">
        <v>69</v>
      </c>
      <c r="BE132" s="6">
        <v>1001.0</v>
      </c>
    </row>
    <row r="133" ht="15.75" customHeight="1">
      <c r="A133" s="5"/>
      <c r="B133" s="6" t="s">
        <v>570</v>
      </c>
      <c r="C133" s="6" t="s">
        <v>571</v>
      </c>
      <c r="D133" s="6" t="s">
        <v>572</v>
      </c>
      <c r="E133" s="6">
        <v>7.0</v>
      </c>
      <c r="F133" s="5"/>
      <c r="G133" s="5"/>
      <c r="H133" s="6" t="s">
        <v>426</v>
      </c>
      <c r="I133" s="10"/>
      <c r="J133" s="10"/>
      <c r="K133" s="5"/>
      <c r="L133" s="5"/>
      <c r="M133" s="5"/>
      <c r="N133" s="5"/>
      <c r="O133" s="5"/>
      <c r="P133" s="5"/>
      <c r="Q133" s="6" t="s">
        <v>509</v>
      </c>
      <c r="R133" s="6"/>
      <c r="S133" s="6" t="s">
        <v>573</v>
      </c>
      <c r="T133" s="5"/>
      <c r="U133" s="5"/>
      <c r="V133" s="5"/>
      <c r="W133" s="5"/>
      <c r="X133" s="5"/>
      <c r="Y133" s="8">
        <f t="shared" si="1"/>
        <v>45901.32789</v>
      </c>
      <c r="Z133" s="5"/>
      <c r="AA133" s="6" t="s">
        <v>66</v>
      </c>
      <c r="AB133" s="6" t="s">
        <v>67</v>
      </c>
      <c r="AC133" s="5"/>
      <c r="AD133" s="5"/>
      <c r="AE133" s="5"/>
      <c r="AF133" s="5"/>
      <c r="AG133" s="5"/>
      <c r="AH133" s="5"/>
      <c r="AI133" s="5"/>
      <c r="AJ133" s="5"/>
      <c r="AK133" s="5"/>
      <c r="AL133" s="6" t="s">
        <v>63</v>
      </c>
      <c r="AM133" s="5"/>
      <c r="AN133" s="5"/>
      <c r="AO133" s="5"/>
      <c r="AP133" s="5"/>
      <c r="AQ133" s="5"/>
      <c r="AR133" s="5"/>
      <c r="AS133" s="5"/>
      <c r="AT133" s="5"/>
      <c r="AU133" s="5"/>
      <c r="AV133" s="5"/>
      <c r="AW133" s="5"/>
      <c r="AX133" s="5"/>
      <c r="AY133" s="5"/>
      <c r="AZ133" s="5"/>
      <c r="BA133" s="5"/>
      <c r="BB133" s="6" t="s">
        <v>69</v>
      </c>
      <c r="BC133" s="5"/>
      <c r="BD133" s="6" t="s">
        <v>69</v>
      </c>
      <c r="BE133" s="6">
        <v>1001.0</v>
      </c>
    </row>
    <row r="134" ht="15.75" customHeight="1">
      <c r="A134" s="5"/>
      <c r="B134" s="6" t="s">
        <v>574</v>
      </c>
      <c r="C134" s="6" t="s">
        <v>575</v>
      </c>
      <c r="D134" s="6" t="s">
        <v>576</v>
      </c>
      <c r="E134" s="6">
        <v>2.0</v>
      </c>
      <c r="F134" s="5"/>
      <c r="G134" s="5"/>
      <c r="H134" s="6" t="s">
        <v>72</v>
      </c>
      <c r="I134" s="10"/>
      <c r="J134" s="10"/>
      <c r="K134" s="5"/>
      <c r="L134" s="6" t="s">
        <v>72</v>
      </c>
      <c r="M134" s="5"/>
      <c r="N134" s="5"/>
      <c r="O134" s="5"/>
      <c r="P134" s="5"/>
      <c r="Q134" s="6" t="s">
        <v>63</v>
      </c>
      <c r="R134" s="5"/>
      <c r="S134" s="6" t="s">
        <v>577</v>
      </c>
      <c r="T134" s="5"/>
      <c r="U134" s="5"/>
      <c r="V134" s="5"/>
      <c r="W134" s="5"/>
      <c r="X134" s="5"/>
      <c r="Y134" s="8">
        <f t="shared" si="1"/>
        <v>45901.32789</v>
      </c>
      <c r="Z134" s="5"/>
      <c r="AA134" s="6" t="s">
        <v>66</v>
      </c>
      <c r="AB134" s="6" t="s">
        <v>67</v>
      </c>
      <c r="AC134" s="5"/>
      <c r="AD134" s="5"/>
      <c r="AE134" s="5"/>
      <c r="AF134" s="5"/>
      <c r="AG134" s="5"/>
      <c r="AH134" s="5"/>
      <c r="AI134" s="5"/>
      <c r="AJ134" s="5"/>
      <c r="AK134" s="5"/>
      <c r="AL134" s="6" t="s">
        <v>63</v>
      </c>
      <c r="AM134" s="5"/>
      <c r="AN134" s="5"/>
      <c r="AO134" s="5"/>
      <c r="AP134" s="5"/>
      <c r="AQ134" s="5"/>
      <c r="AR134" s="5"/>
      <c r="AS134" s="5"/>
      <c r="AT134" s="5"/>
      <c r="AU134" s="5"/>
      <c r="AV134" s="5"/>
      <c r="AW134" s="5"/>
      <c r="AX134" s="5"/>
      <c r="AY134" s="5"/>
      <c r="AZ134" s="5"/>
      <c r="BA134" s="5"/>
      <c r="BB134" s="6" t="s">
        <v>69</v>
      </c>
      <c r="BC134" s="5"/>
      <c r="BD134" s="6" t="s">
        <v>69</v>
      </c>
      <c r="BE134" s="6">
        <v>1001.0</v>
      </c>
    </row>
    <row r="135" ht="15.75" customHeight="1">
      <c r="A135" s="5"/>
      <c r="B135" s="6" t="s">
        <v>578</v>
      </c>
      <c r="C135" s="6" t="s">
        <v>579</v>
      </c>
      <c r="D135" s="6" t="s">
        <v>580</v>
      </c>
      <c r="E135" s="6">
        <v>4.0</v>
      </c>
      <c r="F135" s="5"/>
      <c r="G135" s="5"/>
      <c r="H135" s="6" t="s">
        <v>72</v>
      </c>
      <c r="I135" s="10"/>
      <c r="J135" s="10"/>
      <c r="K135" s="5"/>
      <c r="L135" s="5"/>
      <c r="M135" s="5"/>
      <c r="N135" s="5"/>
      <c r="O135" s="5"/>
      <c r="P135" s="5"/>
      <c r="Q135" s="6" t="s">
        <v>63</v>
      </c>
      <c r="R135" s="5"/>
      <c r="S135" s="6" t="s">
        <v>464</v>
      </c>
      <c r="T135" s="5"/>
      <c r="U135" s="5"/>
      <c r="V135" s="5"/>
      <c r="W135" s="5"/>
      <c r="X135" s="5"/>
      <c r="Y135" s="8">
        <f t="shared" si="1"/>
        <v>45901.32789</v>
      </c>
      <c r="Z135" s="5"/>
      <c r="AA135" s="6" t="s">
        <v>66</v>
      </c>
      <c r="AB135" s="6" t="s">
        <v>67</v>
      </c>
      <c r="AC135" s="5"/>
      <c r="AD135" s="5"/>
      <c r="AE135" s="5"/>
      <c r="AF135" s="5"/>
      <c r="AG135" s="5"/>
      <c r="AH135" s="5"/>
      <c r="AI135" s="5"/>
      <c r="AJ135" s="5"/>
      <c r="AK135" s="5"/>
      <c r="AL135" s="6" t="s">
        <v>63</v>
      </c>
      <c r="AM135" s="5"/>
      <c r="AN135" s="5"/>
      <c r="AO135" s="5"/>
      <c r="AP135" s="5"/>
      <c r="AQ135" s="5"/>
      <c r="AR135" s="5"/>
      <c r="AS135" s="5"/>
      <c r="AT135" s="5"/>
      <c r="AU135" s="5"/>
      <c r="AV135" s="5"/>
      <c r="AW135" s="5"/>
      <c r="AX135" s="5"/>
      <c r="AY135" s="5"/>
      <c r="AZ135" s="5"/>
      <c r="BA135" s="5"/>
      <c r="BB135" s="6" t="s">
        <v>69</v>
      </c>
      <c r="BC135" s="5"/>
      <c r="BD135" s="6" t="s">
        <v>69</v>
      </c>
      <c r="BE135" s="6">
        <v>1001.0</v>
      </c>
    </row>
    <row r="136" ht="15.75" customHeight="1">
      <c r="A136" s="5"/>
      <c r="B136" s="6" t="s">
        <v>581</v>
      </c>
      <c r="C136" s="6" t="s">
        <v>575</v>
      </c>
      <c r="D136" s="6" t="s">
        <v>576</v>
      </c>
      <c r="E136" s="6">
        <v>2.0</v>
      </c>
      <c r="F136" s="5"/>
      <c r="G136" s="5"/>
      <c r="H136" s="6" t="s">
        <v>72</v>
      </c>
      <c r="I136" s="10"/>
      <c r="J136" s="10"/>
      <c r="K136" s="5"/>
      <c r="L136" s="6" t="s">
        <v>72</v>
      </c>
      <c r="M136" s="5"/>
      <c r="N136" s="5"/>
      <c r="O136" s="5"/>
      <c r="P136" s="5"/>
      <c r="Q136" s="6" t="s">
        <v>171</v>
      </c>
      <c r="R136" s="5"/>
      <c r="S136" s="6" t="s">
        <v>577</v>
      </c>
      <c r="T136" s="5"/>
      <c r="U136" s="5"/>
      <c r="V136" s="5"/>
      <c r="W136" s="5"/>
      <c r="X136" s="5"/>
      <c r="Y136" s="8">
        <f t="shared" si="1"/>
        <v>45901.32789</v>
      </c>
      <c r="Z136" s="5"/>
      <c r="AA136" s="6" t="s">
        <v>66</v>
      </c>
      <c r="AB136" s="6" t="s">
        <v>67</v>
      </c>
      <c r="AC136" s="5"/>
      <c r="AD136" s="5"/>
      <c r="AE136" s="5"/>
      <c r="AF136" s="5"/>
      <c r="AG136" s="5"/>
      <c r="AH136" s="5"/>
      <c r="AI136" s="5"/>
      <c r="AJ136" s="5"/>
      <c r="AK136" s="5"/>
      <c r="AL136" s="6" t="s">
        <v>63</v>
      </c>
      <c r="AM136" s="5"/>
      <c r="AN136" s="5"/>
      <c r="AO136" s="5"/>
      <c r="AP136" s="5"/>
      <c r="AQ136" s="5"/>
      <c r="AR136" s="5"/>
      <c r="AS136" s="5"/>
      <c r="AT136" s="5"/>
      <c r="AU136" s="5"/>
      <c r="AV136" s="5"/>
      <c r="AW136" s="5"/>
      <c r="AX136" s="5"/>
      <c r="AY136" s="5"/>
      <c r="AZ136" s="5"/>
      <c r="BA136" s="5"/>
      <c r="BB136" s="6" t="s">
        <v>69</v>
      </c>
      <c r="BC136" s="5"/>
      <c r="BD136" s="6" t="s">
        <v>69</v>
      </c>
      <c r="BE136" s="6">
        <v>1001.0</v>
      </c>
    </row>
    <row r="137" ht="15.75" customHeight="1">
      <c r="A137" s="5"/>
      <c r="B137" s="6" t="s">
        <v>582</v>
      </c>
      <c r="C137" s="6" t="s">
        <v>583</v>
      </c>
      <c r="D137" s="6" t="s">
        <v>584</v>
      </c>
      <c r="E137" s="6">
        <v>7.0</v>
      </c>
      <c r="F137" s="5"/>
      <c r="G137" s="5"/>
      <c r="H137" s="6" t="s">
        <v>426</v>
      </c>
      <c r="I137" s="10"/>
      <c r="J137" s="10"/>
      <c r="K137" s="5"/>
      <c r="L137" s="5"/>
      <c r="M137" s="5"/>
      <c r="N137" s="5"/>
      <c r="O137" s="5"/>
      <c r="P137" s="5"/>
      <c r="Q137" s="6" t="s">
        <v>509</v>
      </c>
      <c r="R137" s="5"/>
      <c r="S137" s="6" t="s">
        <v>585</v>
      </c>
      <c r="T137" s="5"/>
      <c r="U137" s="5"/>
      <c r="V137" s="5"/>
      <c r="W137" s="5"/>
      <c r="X137" s="5"/>
      <c r="Y137" s="8">
        <f t="shared" si="1"/>
        <v>45901.32789</v>
      </c>
      <c r="Z137" s="5"/>
      <c r="AA137" s="6" t="s">
        <v>66</v>
      </c>
      <c r="AB137" s="6" t="s">
        <v>67</v>
      </c>
      <c r="AC137" s="5"/>
      <c r="AD137" s="5"/>
      <c r="AE137" s="5"/>
      <c r="AF137" s="5"/>
      <c r="AG137" s="5"/>
      <c r="AH137" s="5"/>
      <c r="AI137" s="5"/>
      <c r="AJ137" s="5"/>
      <c r="AK137" s="5"/>
      <c r="AL137" s="6" t="s">
        <v>63</v>
      </c>
      <c r="AM137" s="5"/>
      <c r="AN137" s="5"/>
      <c r="AO137" s="5"/>
      <c r="AP137" s="5"/>
      <c r="AQ137" s="5"/>
      <c r="AR137" s="5"/>
      <c r="AS137" s="5"/>
      <c r="AT137" s="5"/>
      <c r="AU137" s="5"/>
      <c r="AV137" s="5"/>
      <c r="AW137" s="5"/>
      <c r="AX137" s="5"/>
      <c r="AY137" s="5"/>
      <c r="AZ137" s="5"/>
      <c r="BA137" s="5"/>
      <c r="BB137" s="6" t="s">
        <v>69</v>
      </c>
      <c r="BC137" s="5"/>
      <c r="BD137" s="6" t="s">
        <v>69</v>
      </c>
      <c r="BE137" s="6">
        <v>1001.0</v>
      </c>
    </row>
    <row r="138" ht="15.75" customHeight="1">
      <c r="A138" s="5"/>
      <c r="B138" s="6" t="s">
        <v>586</v>
      </c>
      <c r="C138" s="6" t="s">
        <v>587</v>
      </c>
      <c r="D138" s="5"/>
      <c r="E138" s="6">
        <v>2.0</v>
      </c>
      <c r="F138" s="5"/>
      <c r="G138" s="5"/>
      <c r="H138" s="6" t="s">
        <v>72</v>
      </c>
      <c r="I138" s="10"/>
      <c r="J138" s="10"/>
      <c r="K138" s="5"/>
      <c r="L138" s="5"/>
      <c r="M138" s="5"/>
      <c r="N138" s="5"/>
      <c r="O138" s="5"/>
      <c r="P138" s="5"/>
      <c r="Q138" s="6" t="s">
        <v>63</v>
      </c>
      <c r="R138" s="5"/>
      <c r="S138" s="6" t="s">
        <v>588</v>
      </c>
      <c r="T138" s="5"/>
      <c r="U138" s="5"/>
      <c r="V138" s="5"/>
      <c r="W138" s="5"/>
      <c r="X138" s="5"/>
      <c r="Y138" s="8">
        <f t="shared" si="1"/>
        <v>45901.32789</v>
      </c>
      <c r="Z138" s="5"/>
      <c r="AA138" s="6" t="s">
        <v>66</v>
      </c>
      <c r="AB138" s="6" t="s">
        <v>67</v>
      </c>
      <c r="AC138" s="5"/>
      <c r="AD138" s="5"/>
      <c r="AE138" s="5"/>
      <c r="AF138" s="5"/>
      <c r="AG138" s="5"/>
      <c r="AH138" s="5"/>
      <c r="AI138" s="5"/>
      <c r="AJ138" s="5"/>
      <c r="AK138" s="5"/>
      <c r="AL138" s="6" t="s">
        <v>63</v>
      </c>
      <c r="AM138" s="5"/>
      <c r="AN138" s="5"/>
      <c r="AO138" s="5"/>
      <c r="AP138" s="5"/>
      <c r="AQ138" s="5"/>
      <c r="AR138" s="5"/>
      <c r="AS138" s="5"/>
      <c r="AT138" s="5"/>
      <c r="AU138" s="5"/>
      <c r="AV138" s="5"/>
      <c r="AW138" s="5"/>
      <c r="AX138" s="5"/>
      <c r="AY138" s="5"/>
      <c r="AZ138" s="5"/>
      <c r="BA138" s="5"/>
      <c r="BB138" s="6" t="s">
        <v>69</v>
      </c>
      <c r="BC138" s="5"/>
      <c r="BD138" s="6" t="s">
        <v>69</v>
      </c>
      <c r="BE138" s="6">
        <v>1001.0</v>
      </c>
    </row>
    <row r="139" ht="15.75" customHeight="1">
      <c r="A139" s="5"/>
      <c r="B139" s="6" t="s">
        <v>589</v>
      </c>
      <c r="C139" s="6" t="s">
        <v>590</v>
      </c>
      <c r="D139" s="6" t="s">
        <v>591</v>
      </c>
      <c r="E139" s="6">
        <v>4.0</v>
      </c>
      <c r="F139" s="5"/>
      <c r="G139" s="5"/>
      <c r="H139" s="6"/>
      <c r="I139" s="10"/>
      <c r="J139" s="10"/>
      <c r="K139" s="5"/>
      <c r="L139" s="5"/>
      <c r="M139" s="5"/>
      <c r="N139" s="5"/>
      <c r="O139" s="5"/>
      <c r="P139" s="5"/>
      <c r="Q139" s="6" t="s">
        <v>63</v>
      </c>
      <c r="R139" s="5"/>
      <c r="S139" s="6" t="s">
        <v>592</v>
      </c>
      <c r="T139" s="5"/>
      <c r="U139" s="5"/>
      <c r="V139" s="5"/>
      <c r="W139" s="5"/>
      <c r="X139" s="5"/>
      <c r="Y139" s="8">
        <f t="shared" si="1"/>
        <v>45901.32789</v>
      </c>
      <c r="Z139" s="5"/>
      <c r="AA139" s="6" t="s">
        <v>66</v>
      </c>
      <c r="AB139" s="6" t="s">
        <v>67</v>
      </c>
      <c r="AC139" s="5"/>
      <c r="AD139" s="5"/>
      <c r="AE139" s="5"/>
      <c r="AF139" s="5"/>
      <c r="AG139" s="5"/>
      <c r="AH139" s="5"/>
      <c r="AI139" s="5"/>
      <c r="AJ139" s="5"/>
      <c r="AK139" s="5"/>
      <c r="AL139" s="6" t="s">
        <v>63</v>
      </c>
      <c r="AM139" s="5"/>
      <c r="AN139" s="5"/>
      <c r="AO139" s="5"/>
      <c r="AP139" s="5"/>
      <c r="AQ139" s="5"/>
      <c r="AR139" s="5"/>
      <c r="AS139" s="5"/>
      <c r="AT139" s="5"/>
      <c r="AU139" s="5"/>
      <c r="AV139" s="5"/>
      <c r="AW139" s="5"/>
      <c r="AX139" s="5"/>
      <c r="AY139" s="5"/>
      <c r="AZ139" s="5"/>
      <c r="BA139" s="5"/>
      <c r="BB139" s="6" t="s">
        <v>69</v>
      </c>
      <c r="BC139" s="5"/>
      <c r="BD139" s="6" t="s">
        <v>69</v>
      </c>
      <c r="BE139" s="6">
        <v>1001.0</v>
      </c>
    </row>
    <row r="140" ht="15.75" customHeight="1">
      <c r="A140" s="5"/>
      <c r="B140" s="6" t="s">
        <v>593</v>
      </c>
      <c r="C140" s="6" t="s">
        <v>594</v>
      </c>
      <c r="D140" s="6" t="s">
        <v>401</v>
      </c>
      <c r="E140" s="6">
        <v>2.0</v>
      </c>
      <c r="F140" s="5"/>
      <c r="G140" s="5"/>
      <c r="H140" s="6" t="s">
        <v>72</v>
      </c>
      <c r="I140" s="10"/>
      <c r="J140" s="10"/>
      <c r="K140" s="5"/>
      <c r="L140" s="5"/>
      <c r="M140" s="5"/>
      <c r="N140" s="5"/>
      <c r="O140" s="5"/>
      <c r="P140" s="5"/>
      <c r="Q140" s="6" t="s">
        <v>171</v>
      </c>
      <c r="R140" s="5"/>
      <c r="S140" s="6" t="s">
        <v>342</v>
      </c>
      <c r="T140" s="5"/>
      <c r="U140" s="5"/>
      <c r="V140" s="5"/>
      <c r="W140" s="5"/>
      <c r="X140" s="5"/>
      <c r="Y140" s="8">
        <f t="shared" si="1"/>
        <v>45901.32789</v>
      </c>
      <c r="Z140" s="5"/>
      <c r="AA140" s="6" t="s">
        <v>66</v>
      </c>
      <c r="AB140" s="6" t="s">
        <v>67</v>
      </c>
      <c r="AC140" s="5"/>
      <c r="AD140" s="5"/>
      <c r="AE140" s="5"/>
      <c r="AF140" s="5"/>
      <c r="AG140" s="5"/>
      <c r="AH140" s="5"/>
      <c r="AI140" s="5"/>
      <c r="AJ140" s="5"/>
      <c r="AK140" s="5"/>
      <c r="AL140" s="6" t="s">
        <v>63</v>
      </c>
      <c r="AM140" s="5"/>
      <c r="AN140" s="5"/>
      <c r="AO140" s="5"/>
      <c r="AP140" s="5"/>
      <c r="AQ140" s="5"/>
      <c r="AR140" s="5"/>
      <c r="AS140" s="5"/>
      <c r="AT140" s="5"/>
      <c r="AU140" s="5"/>
      <c r="AV140" s="5"/>
      <c r="AW140" s="5"/>
      <c r="AX140" s="5"/>
      <c r="AY140" s="5"/>
      <c r="AZ140" s="5"/>
      <c r="BA140" s="5"/>
      <c r="BB140" s="6" t="s">
        <v>69</v>
      </c>
      <c r="BC140" s="5"/>
      <c r="BD140" s="6" t="s">
        <v>69</v>
      </c>
      <c r="BE140" s="6">
        <v>1001.0</v>
      </c>
    </row>
    <row r="141" ht="15.75" customHeight="1">
      <c r="A141" s="6">
        <v>616.0</v>
      </c>
      <c r="B141" s="6" t="s">
        <v>595</v>
      </c>
      <c r="C141" s="6" t="s">
        <v>596</v>
      </c>
      <c r="D141" s="5"/>
      <c r="E141" s="6">
        <v>2.0</v>
      </c>
      <c r="F141" s="5"/>
      <c r="G141" s="5"/>
      <c r="H141" s="5"/>
      <c r="I141" s="10"/>
      <c r="J141" s="10"/>
      <c r="K141" s="5"/>
      <c r="L141" s="5"/>
      <c r="M141" s="5"/>
      <c r="N141" s="5"/>
      <c r="O141" s="5"/>
      <c r="P141" s="5"/>
      <c r="Q141" s="6" t="s">
        <v>63</v>
      </c>
      <c r="R141" s="5"/>
      <c r="S141" s="6" t="s">
        <v>446</v>
      </c>
      <c r="T141" s="5"/>
      <c r="U141" s="5"/>
      <c r="V141" s="5"/>
      <c r="W141" s="5"/>
      <c r="X141" s="5"/>
      <c r="Y141" s="5"/>
      <c r="Z141" s="5"/>
      <c r="AA141" s="6" t="s">
        <v>66</v>
      </c>
      <c r="AB141" s="6" t="s">
        <v>67</v>
      </c>
      <c r="AC141" s="5"/>
      <c r="AD141" s="5"/>
      <c r="AE141" s="5"/>
      <c r="AF141" s="5"/>
      <c r="AG141" s="5"/>
      <c r="AH141" s="5"/>
      <c r="AI141" s="5"/>
      <c r="AJ141" s="5"/>
      <c r="AK141" s="5"/>
      <c r="AL141" s="6" t="s">
        <v>63</v>
      </c>
      <c r="AM141" s="5"/>
      <c r="AN141" s="5"/>
      <c r="AO141" s="5"/>
      <c r="AP141" s="5"/>
      <c r="AQ141" s="5"/>
      <c r="AR141" s="5"/>
      <c r="AS141" s="5"/>
      <c r="AT141" s="5"/>
      <c r="AU141" s="5"/>
      <c r="AV141" s="5"/>
      <c r="AW141" s="5"/>
      <c r="AX141" s="5"/>
      <c r="AY141" s="5"/>
      <c r="AZ141" s="5"/>
      <c r="BA141" s="5"/>
      <c r="BB141" s="6" t="s">
        <v>69</v>
      </c>
      <c r="BC141" s="5"/>
      <c r="BD141" s="6" t="s">
        <v>69</v>
      </c>
      <c r="BE141" s="6">
        <v>1001.0</v>
      </c>
    </row>
    <row r="142" ht="15.75" customHeight="1">
      <c r="A142" s="5"/>
      <c r="B142" s="6" t="s">
        <v>597</v>
      </c>
      <c r="C142" s="6" t="s">
        <v>598</v>
      </c>
      <c r="D142" s="6" t="s">
        <v>599</v>
      </c>
      <c r="E142" s="6">
        <v>4.0</v>
      </c>
      <c r="F142" s="5"/>
      <c r="G142" s="5"/>
      <c r="H142" s="6" t="s">
        <v>72</v>
      </c>
      <c r="I142" s="10"/>
      <c r="J142" s="10"/>
      <c r="K142" s="5"/>
      <c r="L142" s="5"/>
      <c r="M142" s="5"/>
      <c r="N142" s="5"/>
      <c r="O142" s="5"/>
      <c r="P142" s="5"/>
      <c r="Q142" s="6" t="s">
        <v>63</v>
      </c>
      <c r="R142" s="5"/>
      <c r="S142" s="6" t="s">
        <v>464</v>
      </c>
      <c r="T142" s="5"/>
      <c r="U142" s="5"/>
      <c r="V142" s="5"/>
      <c r="W142" s="5"/>
      <c r="X142" s="5"/>
      <c r="Y142" s="5"/>
      <c r="Z142" s="5"/>
      <c r="AA142" s="6" t="s">
        <v>66</v>
      </c>
      <c r="AB142" s="6" t="s">
        <v>67</v>
      </c>
      <c r="AC142" s="5"/>
      <c r="AD142" s="5"/>
      <c r="AE142" s="5"/>
      <c r="AF142" s="5"/>
      <c r="AG142" s="5"/>
      <c r="AH142" s="5"/>
      <c r="AI142" s="5"/>
      <c r="AJ142" s="5"/>
      <c r="AK142" s="5"/>
      <c r="AL142" s="6" t="s">
        <v>63</v>
      </c>
      <c r="AM142" s="5"/>
      <c r="AN142" s="5"/>
      <c r="AO142" s="5"/>
      <c r="AP142" s="5"/>
      <c r="AQ142" s="5"/>
      <c r="AR142" s="5"/>
      <c r="AS142" s="5"/>
      <c r="AT142" s="5"/>
      <c r="AU142" s="5"/>
      <c r="AV142" s="5"/>
      <c r="AW142" s="5"/>
      <c r="AX142" s="5"/>
      <c r="AY142" s="5"/>
      <c r="AZ142" s="5"/>
      <c r="BA142" s="5"/>
      <c r="BB142" s="6" t="s">
        <v>69</v>
      </c>
      <c r="BC142" s="5"/>
      <c r="BD142" s="6" t="s">
        <v>69</v>
      </c>
      <c r="BE142" s="6">
        <v>1001.0</v>
      </c>
    </row>
    <row r="143" ht="15.75" customHeight="1">
      <c r="A143" s="5"/>
      <c r="B143" s="6" t="s">
        <v>600</v>
      </c>
      <c r="C143" s="6" t="s">
        <v>601</v>
      </c>
      <c r="D143" s="6" t="s">
        <v>187</v>
      </c>
      <c r="E143" s="6">
        <v>2.0</v>
      </c>
      <c r="F143" s="5"/>
      <c r="G143" s="5"/>
      <c r="H143" s="5"/>
      <c r="I143" s="10"/>
      <c r="J143" s="10"/>
      <c r="K143" s="5"/>
      <c r="L143" s="5"/>
      <c r="M143" s="5"/>
      <c r="N143" s="5"/>
      <c r="O143" s="5"/>
      <c r="P143" s="5"/>
      <c r="Q143" s="6" t="s">
        <v>63</v>
      </c>
      <c r="R143" s="5"/>
      <c r="S143" s="6" t="s">
        <v>383</v>
      </c>
      <c r="T143" s="5"/>
      <c r="U143" s="5"/>
      <c r="V143" s="5"/>
      <c r="W143" s="5"/>
      <c r="X143" s="5"/>
      <c r="Y143" s="5"/>
      <c r="Z143" s="5"/>
      <c r="AA143" s="6" t="s">
        <v>66</v>
      </c>
      <c r="AB143" s="6" t="s">
        <v>67</v>
      </c>
      <c r="AC143" s="5"/>
      <c r="AD143" s="5"/>
      <c r="AE143" s="5"/>
      <c r="AF143" s="5"/>
      <c r="AG143" s="5"/>
      <c r="AH143" s="5"/>
      <c r="AI143" s="5"/>
      <c r="AJ143" s="5"/>
      <c r="AK143" s="5"/>
      <c r="AL143" s="6" t="s">
        <v>63</v>
      </c>
      <c r="AM143" s="5"/>
      <c r="AN143" s="5"/>
      <c r="AO143" s="5"/>
      <c r="AP143" s="5"/>
      <c r="AQ143" s="5"/>
      <c r="AR143" s="5"/>
      <c r="AS143" s="5"/>
      <c r="AT143" s="5"/>
      <c r="AU143" s="5"/>
      <c r="AV143" s="5"/>
      <c r="AW143" s="5"/>
      <c r="AX143" s="5"/>
      <c r="AY143" s="5"/>
      <c r="AZ143" s="5"/>
      <c r="BA143" s="5"/>
      <c r="BB143" s="6" t="s">
        <v>69</v>
      </c>
      <c r="BC143" s="5"/>
      <c r="BD143" s="6" t="s">
        <v>69</v>
      </c>
      <c r="BE143" s="6">
        <v>1001.0</v>
      </c>
    </row>
    <row r="144" ht="15.75" customHeight="1">
      <c r="A144" s="5"/>
      <c r="B144" s="6" t="s">
        <v>602</v>
      </c>
      <c r="C144" s="6" t="s">
        <v>603</v>
      </c>
      <c r="D144" s="6" t="s">
        <v>604</v>
      </c>
      <c r="E144" s="6">
        <v>7.0</v>
      </c>
      <c r="F144" s="5"/>
      <c r="G144" s="5"/>
      <c r="H144" s="6" t="s">
        <v>426</v>
      </c>
      <c r="I144" s="10"/>
      <c r="J144" s="10"/>
      <c r="K144" s="5"/>
      <c r="L144" s="5"/>
      <c r="M144" s="5"/>
      <c r="N144" s="5"/>
      <c r="O144" s="5"/>
      <c r="P144" s="5"/>
      <c r="Q144" s="6" t="s">
        <v>509</v>
      </c>
      <c r="R144" s="5"/>
      <c r="S144" s="6" t="s">
        <v>384</v>
      </c>
      <c r="T144" s="5"/>
      <c r="U144" s="5"/>
      <c r="V144" s="5"/>
      <c r="W144" s="5"/>
      <c r="X144" s="5"/>
      <c r="Y144" s="5"/>
      <c r="Z144" s="5"/>
      <c r="AA144" s="6" t="s">
        <v>66</v>
      </c>
      <c r="AB144" s="6" t="s">
        <v>67</v>
      </c>
      <c r="AC144" s="5"/>
      <c r="AD144" s="5"/>
      <c r="AE144" s="5"/>
      <c r="AF144" s="5"/>
      <c r="AG144" s="5"/>
      <c r="AH144" s="5"/>
      <c r="AI144" s="5"/>
      <c r="AJ144" s="5"/>
      <c r="AK144" s="5"/>
      <c r="AL144" s="6" t="s">
        <v>63</v>
      </c>
      <c r="AM144" s="5"/>
      <c r="AN144" s="5"/>
      <c r="AO144" s="5"/>
      <c r="AP144" s="5"/>
      <c r="AQ144" s="5"/>
      <c r="AR144" s="5"/>
      <c r="AS144" s="5"/>
      <c r="AT144" s="5"/>
      <c r="AU144" s="5"/>
      <c r="AV144" s="5"/>
      <c r="AW144" s="5"/>
      <c r="AX144" s="5"/>
      <c r="AY144" s="5"/>
      <c r="AZ144" s="5"/>
      <c r="BA144" s="5"/>
      <c r="BB144" s="6" t="s">
        <v>69</v>
      </c>
      <c r="BC144" s="5"/>
      <c r="BD144" s="6" t="s">
        <v>69</v>
      </c>
      <c r="BE144" s="6">
        <v>1001.0</v>
      </c>
    </row>
    <row r="145" ht="15.75" customHeight="1">
      <c r="A145" s="6">
        <v>615.0</v>
      </c>
      <c r="B145" s="6" t="s">
        <v>605</v>
      </c>
      <c r="C145" s="6" t="s">
        <v>606</v>
      </c>
      <c r="D145" s="5"/>
      <c r="E145" s="6">
        <v>2.0</v>
      </c>
      <c r="F145" s="5"/>
      <c r="G145" s="5"/>
      <c r="H145" s="5"/>
      <c r="I145" s="10"/>
      <c r="J145" s="10"/>
      <c r="K145" s="5"/>
      <c r="L145" s="5"/>
      <c r="M145" s="5"/>
      <c r="N145" s="5"/>
      <c r="O145" s="5"/>
      <c r="P145" s="5"/>
      <c r="Q145" s="6" t="s">
        <v>63</v>
      </c>
      <c r="R145" s="5"/>
      <c r="S145" s="6" t="s">
        <v>446</v>
      </c>
      <c r="T145" s="5"/>
      <c r="U145" s="5"/>
      <c r="V145" s="5"/>
      <c r="W145" s="5"/>
      <c r="X145" s="5"/>
      <c r="Y145" s="5"/>
      <c r="Z145" s="5"/>
      <c r="AA145" s="6" t="s">
        <v>66</v>
      </c>
      <c r="AB145" s="6" t="s">
        <v>67</v>
      </c>
      <c r="AC145" s="5"/>
      <c r="AD145" s="5"/>
      <c r="AE145" s="5"/>
      <c r="AF145" s="5"/>
      <c r="AG145" s="5"/>
      <c r="AH145" s="5"/>
      <c r="AI145" s="5"/>
      <c r="AJ145" s="5"/>
      <c r="AK145" s="5"/>
      <c r="AL145" s="6" t="s">
        <v>63</v>
      </c>
      <c r="AM145" s="5"/>
      <c r="AN145" s="5"/>
      <c r="AO145" s="5"/>
      <c r="AP145" s="5"/>
      <c r="AQ145" s="5"/>
      <c r="AR145" s="5"/>
      <c r="AS145" s="5"/>
      <c r="AT145" s="5"/>
      <c r="AU145" s="5"/>
      <c r="AV145" s="5"/>
      <c r="AW145" s="5"/>
      <c r="AX145" s="5"/>
      <c r="AY145" s="5"/>
      <c r="AZ145" s="5"/>
      <c r="BA145" s="5"/>
      <c r="BB145" s="6" t="s">
        <v>69</v>
      </c>
      <c r="BC145" s="5"/>
      <c r="BD145" s="6" t="s">
        <v>69</v>
      </c>
      <c r="BE145" s="6">
        <v>1001.0</v>
      </c>
    </row>
    <row r="146" ht="15.75" customHeight="1">
      <c r="A146" s="5"/>
      <c r="B146" s="6"/>
      <c r="C146" s="5"/>
      <c r="D146" s="5"/>
      <c r="E146" s="5"/>
      <c r="F146" s="5"/>
      <c r="G146" s="5"/>
      <c r="H146" s="5"/>
      <c r="I146" s="10"/>
      <c r="J146" s="10"/>
      <c r="K146" s="5"/>
      <c r="L146" s="5"/>
      <c r="M146" s="5"/>
      <c r="N146" s="5"/>
      <c r="O146" s="5"/>
      <c r="P146" s="5"/>
      <c r="Q146" s="5"/>
      <c r="R146" s="5"/>
      <c r="S146" s="5"/>
      <c r="T146" s="5"/>
      <c r="U146" s="5"/>
      <c r="V146" s="5"/>
      <c r="W146" s="5"/>
      <c r="X146" s="5"/>
      <c r="Y146" s="5"/>
      <c r="Z146" s="5"/>
      <c r="AA146" s="5"/>
      <c r="AB146" s="6" t="s">
        <v>67</v>
      </c>
      <c r="AC146" s="5"/>
      <c r="AD146" s="5"/>
      <c r="AE146" s="5"/>
      <c r="AF146" s="5"/>
      <c r="AG146" s="5"/>
      <c r="AH146" s="5"/>
      <c r="AI146" s="5"/>
      <c r="AJ146" s="5"/>
      <c r="AK146" s="5"/>
      <c r="AL146" s="6" t="s">
        <v>63</v>
      </c>
      <c r="AM146" s="5"/>
      <c r="AN146" s="5"/>
      <c r="AO146" s="5"/>
      <c r="AP146" s="5"/>
      <c r="AQ146" s="5"/>
      <c r="AR146" s="5"/>
      <c r="AS146" s="5"/>
      <c r="AT146" s="5"/>
      <c r="AU146" s="5"/>
      <c r="AV146" s="5"/>
      <c r="AW146" s="5"/>
      <c r="AX146" s="5"/>
      <c r="AY146" s="5"/>
      <c r="AZ146" s="5"/>
      <c r="BA146" s="5"/>
      <c r="BB146" s="6" t="s">
        <v>69</v>
      </c>
      <c r="BC146" s="5"/>
      <c r="BD146" s="6" t="s">
        <v>69</v>
      </c>
      <c r="BE146" s="6">
        <v>1001.0</v>
      </c>
    </row>
    <row r="147" ht="15.75" customHeight="1">
      <c r="A147" s="6">
        <v>617.0</v>
      </c>
      <c r="B147" s="6" t="s">
        <v>607</v>
      </c>
      <c r="C147" s="6" t="s">
        <v>608</v>
      </c>
      <c r="D147" s="5"/>
      <c r="E147" s="6">
        <v>2.0</v>
      </c>
      <c r="F147" s="5"/>
      <c r="G147" s="5"/>
      <c r="H147" s="5"/>
      <c r="I147" s="10"/>
      <c r="J147" s="10"/>
      <c r="K147" s="5"/>
      <c r="L147" s="5"/>
      <c r="M147" s="5"/>
      <c r="N147" s="5"/>
      <c r="O147" s="5"/>
      <c r="P147" s="5"/>
      <c r="Q147" s="6" t="s">
        <v>63</v>
      </c>
      <c r="R147" s="5"/>
      <c r="S147" s="6" t="s">
        <v>609</v>
      </c>
      <c r="T147" s="5"/>
      <c r="U147" s="5"/>
      <c r="V147" s="5"/>
      <c r="W147" s="5"/>
      <c r="X147" s="5"/>
      <c r="Y147" s="5"/>
      <c r="Z147" s="5"/>
      <c r="AA147" s="5"/>
      <c r="AB147" s="6" t="s">
        <v>67</v>
      </c>
      <c r="AC147" s="5"/>
      <c r="AD147" s="5"/>
      <c r="AE147" s="5"/>
      <c r="AF147" s="5"/>
      <c r="AG147" s="5"/>
      <c r="AH147" s="5"/>
      <c r="AI147" s="5"/>
      <c r="AJ147" s="5"/>
      <c r="AK147" s="5"/>
      <c r="AL147" s="6" t="s">
        <v>63</v>
      </c>
      <c r="AM147" s="5"/>
      <c r="AN147" s="5"/>
      <c r="AO147" s="5"/>
      <c r="AP147" s="5"/>
      <c r="AQ147" s="5"/>
      <c r="AR147" s="5"/>
      <c r="AS147" s="5"/>
      <c r="AT147" s="5"/>
      <c r="AU147" s="5"/>
      <c r="AV147" s="5"/>
      <c r="AW147" s="5"/>
      <c r="AX147" s="5"/>
      <c r="AY147" s="5"/>
      <c r="AZ147" s="5"/>
      <c r="BA147" s="5"/>
      <c r="BB147" s="6" t="s">
        <v>69</v>
      </c>
      <c r="BC147" s="5"/>
      <c r="BD147" s="6" t="s">
        <v>69</v>
      </c>
      <c r="BE147" s="6">
        <v>1001.0</v>
      </c>
    </row>
    <row r="148" ht="15.75" customHeight="1">
      <c r="A148" s="5"/>
      <c r="B148" s="6" t="s">
        <v>610</v>
      </c>
      <c r="C148" s="6" t="s">
        <v>611</v>
      </c>
      <c r="D148" s="6" t="s">
        <v>612</v>
      </c>
      <c r="E148" s="6">
        <v>4.0</v>
      </c>
      <c r="F148" s="5"/>
      <c r="G148" s="5"/>
      <c r="H148" s="6" t="s">
        <v>72</v>
      </c>
      <c r="I148" s="10"/>
      <c r="J148" s="10"/>
      <c r="K148" s="5"/>
      <c r="L148" s="6" t="s">
        <v>72</v>
      </c>
      <c r="M148" s="5"/>
      <c r="N148" s="5"/>
      <c r="O148" s="5"/>
      <c r="P148" s="5"/>
      <c r="Q148" s="6" t="s">
        <v>171</v>
      </c>
      <c r="R148" s="5"/>
      <c r="S148" s="6" t="s">
        <v>613</v>
      </c>
      <c r="T148" s="5"/>
      <c r="U148" s="5"/>
      <c r="V148" s="5"/>
      <c r="W148" s="5"/>
      <c r="X148" s="5"/>
      <c r="Y148" s="5"/>
      <c r="Z148" s="5"/>
      <c r="AA148" s="5"/>
      <c r="AB148" s="5"/>
      <c r="AC148" s="5"/>
      <c r="AD148" s="5"/>
      <c r="AE148" s="5"/>
      <c r="AF148" s="5"/>
      <c r="AG148" s="5"/>
      <c r="AH148" s="5"/>
      <c r="AI148" s="5"/>
      <c r="AJ148" s="5"/>
      <c r="AK148" s="5"/>
      <c r="AL148" s="6" t="s">
        <v>63</v>
      </c>
      <c r="AM148" s="5"/>
      <c r="AN148" s="5"/>
      <c r="AO148" s="5"/>
      <c r="AP148" s="5"/>
      <c r="AQ148" s="5"/>
      <c r="AR148" s="5"/>
      <c r="AS148" s="5"/>
      <c r="AT148" s="5"/>
      <c r="AU148" s="5"/>
      <c r="AV148" s="5"/>
      <c r="AW148" s="5"/>
      <c r="AX148" s="5"/>
      <c r="AY148" s="5"/>
      <c r="AZ148" s="5"/>
      <c r="BA148" s="5"/>
      <c r="BB148" s="6" t="s">
        <v>69</v>
      </c>
      <c r="BC148" s="5"/>
      <c r="BD148" s="6" t="s">
        <v>69</v>
      </c>
      <c r="BE148" s="6">
        <v>1001.0</v>
      </c>
    </row>
    <row r="149" ht="15.75" customHeight="1">
      <c r="A149" s="5"/>
      <c r="B149" s="6" t="s">
        <v>614</v>
      </c>
      <c r="C149" s="6" t="s">
        <v>615</v>
      </c>
      <c r="D149" s="6" t="s">
        <v>616</v>
      </c>
      <c r="E149" s="6">
        <v>7.0</v>
      </c>
      <c r="F149" s="5"/>
      <c r="G149" s="5"/>
      <c r="H149" s="5"/>
      <c r="I149" s="10"/>
      <c r="J149" s="10"/>
      <c r="K149" s="5"/>
      <c r="L149" s="5"/>
      <c r="M149" s="5"/>
      <c r="N149" s="5"/>
      <c r="O149" s="5"/>
      <c r="P149" s="5"/>
      <c r="Q149" s="6" t="s">
        <v>63</v>
      </c>
      <c r="R149" s="5"/>
      <c r="S149" s="6" t="s">
        <v>617</v>
      </c>
      <c r="T149" s="5"/>
      <c r="U149" s="5"/>
      <c r="V149" s="5"/>
      <c r="W149" s="5"/>
      <c r="X149" s="5"/>
      <c r="Y149" s="5"/>
      <c r="Z149" s="5"/>
      <c r="AA149" s="5"/>
      <c r="AB149" s="5"/>
      <c r="AC149" s="5"/>
      <c r="AD149" s="5"/>
      <c r="AE149" s="5"/>
      <c r="AF149" s="5"/>
      <c r="AG149" s="5"/>
      <c r="AH149" s="5"/>
      <c r="AI149" s="5"/>
      <c r="AJ149" s="5"/>
      <c r="AK149" s="5"/>
      <c r="AL149" s="6" t="s">
        <v>63</v>
      </c>
      <c r="AM149" s="5"/>
      <c r="AN149" s="5"/>
      <c r="AO149" s="5"/>
      <c r="AP149" s="5"/>
      <c r="AQ149" s="5"/>
      <c r="AR149" s="5"/>
      <c r="AS149" s="5"/>
      <c r="AT149" s="5"/>
      <c r="AU149" s="5"/>
      <c r="AV149" s="5"/>
      <c r="AW149" s="5"/>
      <c r="AX149" s="5"/>
      <c r="AY149" s="5"/>
      <c r="AZ149" s="5"/>
      <c r="BA149" s="5"/>
      <c r="BB149" s="6" t="s">
        <v>69</v>
      </c>
      <c r="BC149" s="5"/>
      <c r="BD149" s="6" t="s">
        <v>69</v>
      </c>
      <c r="BE149" s="6">
        <v>1001.0</v>
      </c>
    </row>
    <row r="150" ht="15.75" customHeight="1">
      <c r="A150" s="6">
        <v>632.0</v>
      </c>
      <c r="B150" s="6" t="s">
        <v>593</v>
      </c>
      <c r="C150" s="6" t="s">
        <v>618</v>
      </c>
      <c r="D150" s="5"/>
      <c r="E150" s="6">
        <v>2.0</v>
      </c>
      <c r="F150" s="5"/>
      <c r="G150" s="5"/>
      <c r="H150" s="5"/>
      <c r="I150" s="10"/>
      <c r="J150" s="10"/>
      <c r="K150" s="5"/>
      <c r="L150" s="5"/>
      <c r="M150" s="5"/>
      <c r="N150" s="5"/>
      <c r="O150" s="5"/>
      <c r="P150" s="5"/>
      <c r="Q150" s="6" t="s">
        <v>619</v>
      </c>
      <c r="R150" s="5"/>
      <c r="S150" s="6" t="s">
        <v>150</v>
      </c>
      <c r="T150" s="5"/>
      <c r="U150" s="5"/>
      <c r="V150" s="5"/>
      <c r="W150" s="5"/>
      <c r="X150" s="5"/>
      <c r="Y150" s="5"/>
      <c r="Z150" s="5"/>
      <c r="AA150" s="5"/>
      <c r="AB150" s="5"/>
      <c r="AC150" s="5"/>
      <c r="AD150" s="5"/>
      <c r="AE150" s="5"/>
      <c r="AF150" s="5"/>
      <c r="AG150" s="5"/>
      <c r="AH150" s="5"/>
      <c r="AI150" s="5"/>
      <c r="AJ150" s="5"/>
      <c r="AK150" s="5"/>
      <c r="AL150" s="6" t="s">
        <v>63</v>
      </c>
      <c r="AM150" s="5"/>
      <c r="AN150" s="5"/>
      <c r="AO150" s="5"/>
      <c r="AP150" s="5"/>
      <c r="AQ150" s="5"/>
      <c r="AR150" s="5"/>
      <c r="AS150" s="5"/>
      <c r="AT150" s="5"/>
      <c r="AU150" s="5"/>
      <c r="AV150" s="5"/>
      <c r="AW150" s="5"/>
      <c r="AX150" s="5"/>
      <c r="AY150" s="5"/>
      <c r="AZ150" s="5"/>
      <c r="BA150" s="5"/>
      <c r="BB150" s="6" t="s">
        <v>69</v>
      </c>
      <c r="BC150" s="5"/>
      <c r="BD150" s="6" t="s">
        <v>69</v>
      </c>
      <c r="BE150" s="6">
        <v>1001.0</v>
      </c>
    </row>
    <row r="151" ht="15.75" customHeight="1">
      <c r="A151" s="5"/>
      <c r="B151" s="6" t="s">
        <v>574</v>
      </c>
      <c r="C151" s="6" t="s">
        <v>513</v>
      </c>
      <c r="D151" s="5"/>
      <c r="E151" s="6">
        <v>2.0</v>
      </c>
      <c r="F151" s="5"/>
      <c r="G151" s="5"/>
      <c r="H151" s="5"/>
      <c r="I151" s="10"/>
      <c r="J151" s="10"/>
      <c r="K151" s="5"/>
      <c r="L151" s="5"/>
      <c r="M151" s="5"/>
      <c r="N151" s="5"/>
      <c r="O151" s="5"/>
      <c r="P151" s="5"/>
      <c r="Q151" s="6" t="s">
        <v>63</v>
      </c>
      <c r="R151" s="5"/>
      <c r="S151" s="6" t="s">
        <v>620</v>
      </c>
      <c r="T151" s="5"/>
      <c r="U151" s="5"/>
      <c r="V151" s="5"/>
      <c r="W151" s="5"/>
      <c r="X151" s="5"/>
      <c r="Y151" s="5"/>
      <c r="Z151" s="5"/>
      <c r="AA151" s="5"/>
      <c r="AB151" s="5"/>
      <c r="AC151" s="5"/>
      <c r="AD151" s="5"/>
      <c r="AE151" s="5"/>
      <c r="AF151" s="5"/>
      <c r="AG151" s="5"/>
      <c r="AH151" s="5"/>
      <c r="AI151" s="5"/>
      <c r="AJ151" s="5"/>
      <c r="AK151" s="5"/>
      <c r="AL151" s="6" t="s">
        <v>63</v>
      </c>
      <c r="AM151" s="5"/>
      <c r="AN151" s="5"/>
      <c r="AO151" s="5"/>
      <c r="AP151" s="5"/>
      <c r="AQ151" s="5"/>
      <c r="AR151" s="5"/>
      <c r="AS151" s="5"/>
      <c r="AT151" s="5"/>
      <c r="AU151" s="5"/>
      <c r="AV151" s="5"/>
      <c r="AW151" s="5"/>
      <c r="AX151" s="5"/>
      <c r="AY151" s="5"/>
      <c r="AZ151" s="5"/>
      <c r="BA151" s="5"/>
      <c r="BB151" s="6" t="s">
        <v>69</v>
      </c>
      <c r="BC151" s="5"/>
      <c r="BD151" s="6" t="s">
        <v>69</v>
      </c>
      <c r="BE151" s="6">
        <v>1001.0</v>
      </c>
    </row>
    <row r="152" ht="15.75" customHeight="1">
      <c r="A152" s="5"/>
      <c r="B152" s="6" t="s">
        <v>621</v>
      </c>
      <c r="C152" s="6" t="s">
        <v>606</v>
      </c>
      <c r="D152" s="6" t="s">
        <v>622</v>
      </c>
      <c r="E152" s="6">
        <v>2.0</v>
      </c>
      <c r="F152" s="5"/>
      <c r="G152" s="5"/>
      <c r="H152" s="5"/>
      <c r="I152" s="10"/>
      <c r="J152" s="10"/>
      <c r="K152" s="5"/>
      <c r="L152" s="5"/>
      <c r="M152" s="5"/>
      <c r="N152" s="5"/>
      <c r="O152" s="5"/>
      <c r="P152" s="5"/>
      <c r="Q152" s="6" t="s">
        <v>63</v>
      </c>
      <c r="R152" s="5"/>
      <c r="S152" s="6" t="s">
        <v>446</v>
      </c>
      <c r="T152" s="5"/>
      <c r="U152" s="5"/>
      <c r="V152" s="5"/>
      <c r="W152" s="5"/>
      <c r="X152" s="5"/>
      <c r="Y152" s="5"/>
      <c r="Z152" s="5"/>
      <c r="AA152" s="5"/>
      <c r="AB152" s="5"/>
      <c r="AC152" s="5"/>
      <c r="AD152" s="5"/>
      <c r="AE152" s="5"/>
      <c r="AF152" s="5"/>
      <c r="AG152" s="5"/>
      <c r="AH152" s="5"/>
      <c r="AI152" s="5"/>
      <c r="AJ152" s="5"/>
      <c r="AK152" s="5"/>
      <c r="AL152" s="6" t="s">
        <v>63</v>
      </c>
      <c r="AM152" s="5"/>
      <c r="AN152" s="5"/>
      <c r="AO152" s="5"/>
      <c r="AP152" s="5"/>
      <c r="AQ152" s="5"/>
      <c r="AR152" s="5"/>
      <c r="AS152" s="5"/>
      <c r="AT152" s="5"/>
      <c r="AU152" s="5"/>
      <c r="AV152" s="5"/>
      <c r="AW152" s="5"/>
      <c r="AX152" s="5"/>
      <c r="AY152" s="5"/>
      <c r="AZ152" s="5"/>
      <c r="BA152" s="5"/>
      <c r="BB152" s="6" t="s">
        <v>69</v>
      </c>
      <c r="BC152" s="5"/>
      <c r="BD152" s="6" t="s">
        <v>69</v>
      </c>
      <c r="BE152" s="6">
        <v>1001.0</v>
      </c>
    </row>
    <row r="153" ht="15.75" customHeight="1">
      <c r="A153" s="5"/>
      <c r="B153" s="6" t="s">
        <v>623</v>
      </c>
      <c r="C153" s="6" t="s">
        <v>624</v>
      </c>
      <c r="D153" s="6" t="s">
        <v>625</v>
      </c>
      <c r="E153" s="6">
        <v>4.0</v>
      </c>
      <c r="F153" s="5"/>
      <c r="G153" s="5"/>
      <c r="H153" s="6" t="s">
        <v>72</v>
      </c>
      <c r="I153" s="10"/>
      <c r="J153" s="10"/>
      <c r="K153" s="5"/>
      <c r="L153" s="5"/>
      <c r="M153" s="5"/>
      <c r="N153" s="5"/>
      <c r="O153" s="5"/>
      <c r="P153" s="5"/>
      <c r="Q153" s="6" t="s">
        <v>171</v>
      </c>
      <c r="R153" s="5"/>
      <c r="S153" s="6" t="s">
        <v>626</v>
      </c>
      <c r="T153" s="5"/>
      <c r="U153" s="5"/>
      <c r="V153" s="5"/>
      <c r="W153" s="5"/>
      <c r="X153" s="5"/>
      <c r="Y153" s="5"/>
      <c r="Z153" s="5"/>
      <c r="AA153" s="5"/>
      <c r="AB153" s="5"/>
      <c r="AC153" s="5"/>
      <c r="AD153" s="5"/>
      <c r="AE153" s="5"/>
      <c r="AF153" s="5"/>
      <c r="AG153" s="5"/>
      <c r="AH153" s="5"/>
      <c r="AI153" s="5"/>
      <c r="AJ153" s="5"/>
      <c r="AK153" s="5"/>
      <c r="AL153" s="6" t="s">
        <v>63</v>
      </c>
      <c r="AM153" s="5"/>
      <c r="AN153" s="5"/>
      <c r="AO153" s="5"/>
      <c r="AP153" s="5"/>
      <c r="AQ153" s="5"/>
      <c r="AR153" s="5"/>
      <c r="AS153" s="5"/>
      <c r="AT153" s="5"/>
      <c r="AU153" s="5"/>
      <c r="AV153" s="5"/>
      <c r="AW153" s="5"/>
      <c r="AX153" s="5"/>
      <c r="AY153" s="5"/>
      <c r="AZ153" s="5"/>
      <c r="BA153" s="5"/>
      <c r="BB153" s="6" t="s">
        <v>69</v>
      </c>
      <c r="BC153" s="5"/>
      <c r="BD153" s="6" t="s">
        <v>69</v>
      </c>
      <c r="BE153" s="6">
        <v>1001.0</v>
      </c>
    </row>
    <row r="154" ht="15.75" customHeight="1">
      <c r="A154" s="5"/>
      <c r="B154" s="6" t="s">
        <v>627</v>
      </c>
      <c r="C154" s="6" t="s">
        <v>628</v>
      </c>
      <c r="D154" s="6" t="s">
        <v>629</v>
      </c>
      <c r="E154" s="6">
        <v>4.0</v>
      </c>
      <c r="F154" s="5"/>
      <c r="G154" s="5"/>
      <c r="H154" s="6" t="s">
        <v>72</v>
      </c>
      <c r="I154" s="10"/>
      <c r="J154" s="10"/>
      <c r="K154" s="5"/>
      <c r="L154" s="5"/>
      <c r="M154" s="5"/>
      <c r="N154" s="5"/>
      <c r="O154" s="5"/>
      <c r="P154" s="5"/>
      <c r="Q154" s="6" t="s">
        <v>63</v>
      </c>
      <c r="R154" s="5"/>
      <c r="S154" s="6" t="s">
        <v>630</v>
      </c>
      <c r="T154" s="5"/>
      <c r="U154" s="5"/>
      <c r="V154" s="5"/>
      <c r="W154" s="5"/>
      <c r="X154" s="5"/>
      <c r="Y154" s="5"/>
      <c r="Z154" s="5"/>
      <c r="AA154" s="5"/>
      <c r="AB154" s="5"/>
      <c r="AC154" s="5"/>
      <c r="AD154" s="5"/>
      <c r="AE154" s="5"/>
      <c r="AF154" s="5"/>
      <c r="AG154" s="5"/>
      <c r="AH154" s="5"/>
      <c r="AI154" s="5"/>
      <c r="AJ154" s="5"/>
      <c r="AK154" s="5"/>
      <c r="AL154" s="6" t="s">
        <v>63</v>
      </c>
      <c r="AM154" s="5"/>
      <c r="AN154" s="5"/>
      <c r="AO154" s="5"/>
      <c r="AP154" s="5"/>
      <c r="AQ154" s="5"/>
      <c r="AR154" s="5"/>
      <c r="AS154" s="5"/>
      <c r="AT154" s="5"/>
      <c r="AU154" s="5"/>
      <c r="AV154" s="5"/>
      <c r="AW154" s="5"/>
      <c r="AX154" s="5"/>
      <c r="AY154" s="5"/>
      <c r="AZ154" s="5"/>
      <c r="BA154" s="5"/>
      <c r="BB154" s="6" t="s">
        <v>69</v>
      </c>
      <c r="BC154" s="5"/>
      <c r="BD154" s="6" t="s">
        <v>69</v>
      </c>
      <c r="BE154" s="6">
        <v>1001.0</v>
      </c>
    </row>
    <row r="155" ht="15.75" customHeight="1">
      <c r="A155" s="5"/>
      <c r="B155" s="6" t="s">
        <v>581</v>
      </c>
      <c r="C155" s="6" t="s">
        <v>513</v>
      </c>
      <c r="D155" s="5"/>
      <c r="E155" s="6">
        <v>2.0</v>
      </c>
      <c r="F155" s="5"/>
      <c r="G155" s="5"/>
      <c r="H155" s="5"/>
      <c r="I155" s="10"/>
      <c r="J155" s="10"/>
      <c r="K155" s="5"/>
      <c r="L155" s="5"/>
      <c r="M155" s="5"/>
      <c r="N155" s="5"/>
      <c r="O155" s="5"/>
      <c r="P155" s="5"/>
      <c r="Q155" s="6" t="s">
        <v>171</v>
      </c>
      <c r="R155" s="5"/>
      <c r="S155" s="6" t="s">
        <v>631</v>
      </c>
      <c r="T155" s="5"/>
      <c r="U155" s="5"/>
      <c r="V155" s="5"/>
      <c r="W155" s="5"/>
      <c r="X155" s="5"/>
      <c r="Y155" s="5"/>
      <c r="Z155" s="5"/>
      <c r="AA155" s="5"/>
      <c r="AB155" s="5"/>
      <c r="AC155" s="5"/>
      <c r="AD155" s="5"/>
      <c r="AE155" s="5"/>
      <c r="AF155" s="5"/>
      <c r="AG155" s="5"/>
      <c r="AH155" s="5"/>
      <c r="AI155" s="5"/>
      <c r="AJ155" s="5"/>
      <c r="AK155" s="5"/>
      <c r="AL155" s="6" t="s">
        <v>63</v>
      </c>
      <c r="AM155" s="5"/>
      <c r="AN155" s="5"/>
      <c r="AO155" s="5"/>
      <c r="AP155" s="5"/>
      <c r="AQ155" s="5"/>
      <c r="AR155" s="5"/>
      <c r="AS155" s="5"/>
      <c r="AT155" s="5"/>
      <c r="AU155" s="5"/>
      <c r="AV155" s="5"/>
      <c r="AW155" s="5"/>
      <c r="AX155" s="5"/>
      <c r="AY155" s="5"/>
      <c r="AZ155" s="5"/>
      <c r="BA155" s="5"/>
      <c r="BB155" s="6" t="s">
        <v>69</v>
      </c>
      <c r="BC155" s="5"/>
      <c r="BD155" s="6" t="s">
        <v>69</v>
      </c>
      <c r="BE155" s="6">
        <v>1001.0</v>
      </c>
    </row>
    <row r="156" ht="15.75" customHeight="1">
      <c r="A156" s="5"/>
      <c r="B156" s="6" t="s">
        <v>632</v>
      </c>
      <c r="C156" s="6" t="s">
        <v>596</v>
      </c>
      <c r="D156" s="6" t="s">
        <v>633</v>
      </c>
      <c r="E156" s="6">
        <v>2.0</v>
      </c>
      <c r="F156" s="5"/>
      <c r="G156" s="5"/>
      <c r="H156" s="5"/>
      <c r="I156" s="10"/>
      <c r="J156" s="10"/>
      <c r="K156" s="5"/>
      <c r="L156" s="5"/>
      <c r="M156" s="5"/>
      <c r="N156" s="5"/>
      <c r="O156" s="5"/>
      <c r="P156" s="5"/>
      <c r="Q156" s="6" t="s">
        <v>63</v>
      </c>
      <c r="R156" s="5"/>
      <c r="S156" s="6" t="s">
        <v>446</v>
      </c>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6" t="s">
        <v>69</v>
      </c>
      <c r="BC156" s="5"/>
      <c r="BD156" s="6" t="s">
        <v>69</v>
      </c>
      <c r="BE156" s="6">
        <v>1001.0</v>
      </c>
    </row>
    <row r="157" ht="15.75" customHeight="1">
      <c r="A157" s="6">
        <v>664.0</v>
      </c>
      <c r="B157" s="6" t="s">
        <v>552</v>
      </c>
      <c r="C157" s="6" t="s">
        <v>634</v>
      </c>
      <c r="D157" s="6" t="s">
        <v>554</v>
      </c>
      <c r="E157" s="6">
        <v>2.0</v>
      </c>
      <c r="F157" s="5"/>
      <c r="G157" s="5"/>
      <c r="H157" s="5"/>
      <c r="I157" s="10"/>
      <c r="J157" s="10"/>
      <c r="K157" s="5"/>
      <c r="L157" s="5"/>
      <c r="M157" s="5"/>
      <c r="N157" s="5"/>
      <c r="O157" s="5"/>
      <c r="P157" s="5"/>
      <c r="Q157" s="6" t="s">
        <v>171</v>
      </c>
      <c r="R157" s="5"/>
      <c r="S157" s="6" t="s">
        <v>556</v>
      </c>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6" t="s">
        <v>69</v>
      </c>
      <c r="BC157" s="5"/>
      <c r="BD157" s="6" t="s">
        <v>69</v>
      </c>
      <c r="BE157" s="6">
        <v>1001.0</v>
      </c>
    </row>
    <row r="158" ht="15.75" customHeight="1">
      <c r="A158" s="5"/>
      <c r="B158" s="6" t="s">
        <v>635</v>
      </c>
      <c r="C158" s="6" t="s">
        <v>636</v>
      </c>
      <c r="D158" s="6" t="s">
        <v>637</v>
      </c>
      <c r="E158" s="6">
        <v>2.0</v>
      </c>
      <c r="F158" s="5"/>
      <c r="G158" s="5"/>
      <c r="H158" s="5"/>
      <c r="I158" s="10"/>
      <c r="J158" s="10"/>
      <c r="K158" s="5"/>
      <c r="L158" s="5"/>
      <c r="M158" s="5"/>
      <c r="N158" s="5"/>
      <c r="O158" s="5"/>
      <c r="P158" s="5"/>
      <c r="Q158" s="6" t="s">
        <v>63</v>
      </c>
      <c r="R158" s="5"/>
      <c r="S158" s="6" t="s">
        <v>490</v>
      </c>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6" t="s">
        <v>69</v>
      </c>
      <c r="BC158" s="5"/>
      <c r="BD158" s="6" t="s">
        <v>69</v>
      </c>
      <c r="BE158" s="5"/>
    </row>
    <row r="159" ht="15.75" customHeight="1">
      <c r="A159" s="6">
        <v>665.0</v>
      </c>
      <c r="B159" s="6" t="s">
        <v>638</v>
      </c>
      <c r="C159" s="6" t="s">
        <v>639</v>
      </c>
      <c r="D159" s="5"/>
      <c r="E159" s="6">
        <v>2.0</v>
      </c>
      <c r="F159" s="5"/>
      <c r="G159" s="5"/>
      <c r="H159" s="5"/>
      <c r="I159" s="10"/>
      <c r="J159" s="10"/>
      <c r="K159" s="5"/>
      <c r="L159" s="5"/>
      <c r="M159" s="5"/>
      <c r="N159" s="5"/>
      <c r="O159" s="5"/>
      <c r="P159" s="5"/>
      <c r="Q159" s="6" t="s">
        <v>171</v>
      </c>
      <c r="R159" s="5"/>
      <c r="S159" s="6" t="s">
        <v>640</v>
      </c>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6" t="s">
        <v>69</v>
      </c>
      <c r="BC159" s="5"/>
      <c r="BD159" s="6" t="s">
        <v>69</v>
      </c>
      <c r="BE159" s="5"/>
    </row>
    <row r="160" ht="15.75" customHeight="1">
      <c r="A160" s="5"/>
      <c r="B160" s="6" t="s">
        <v>641</v>
      </c>
      <c r="C160" s="6" t="s">
        <v>403</v>
      </c>
      <c r="D160" s="6" t="s">
        <v>404</v>
      </c>
      <c r="E160" s="6">
        <v>1.0</v>
      </c>
      <c r="F160" s="5"/>
      <c r="G160" s="5"/>
      <c r="H160" s="5"/>
      <c r="I160" s="10"/>
      <c r="J160" s="10"/>
      <c r="K160" s="5"/>
      <c r="L160" s="5"/>
      <c r="M160" s="5"/>
      <c r="N160" s="5"/>
      <c r="O160" s="5"/>
      <c r="P160" s="5"/>
      <c r="Q160" s="6" t="s">
        <v>171</v>
      </c>
      <c r="R160" s="5"/>
      <c r="S160" s="6" t="s">
        <v>405</v>
      </c>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6" t="s">
        <v>69</v>
      </c>
      <c r="BC160" s="5"/>
      <c r="BD160" s="6" t="s">
        <v>69</v>
      </c>
      <c r="BE160" s="5"/>
    </row>
    <row r="161" ht="15.75" customHeight="1">
      <c r="A161" s="6">
        <v>629.0</v>
      </c>
      <c r="B161" s="6" t="s">
        <v>642</v>
      </c>
      <c r="C161" s="6" t="s">
        <v>513</v>
      </c>
      <c r="D161" s="5"/>
      <c r="E161" s="6">
        <v>2.0</v>
      </c>
      <c r="F161" s="5"/>
      <c r="G161" s="5"/>
      <c r="H161" s="5"/>
      <c r="I161" s="10"/>
      <c r="J161" s="10"/>
      <c r="K161" s="5"/>
      <c r="L161" s="5"/>
      <c r="M161" s="5"/>
      <c r="N161" s="5"/>
      <c r="O161" s="5"/>
      <c r="P161" s="5"/>
      <c r="Q161" s="6" t="s">
        <v>63</v>
      </c>
      <c r="R161" s="5"/>
      <c r="S161" s="6" t="s">
        <v>643</v>
      </c>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6" t="s">
        <v>69</v>
      </c>
      <c r="BC161" s="5"/>
      <c r="BD161" s="6" t="s">
        <v>69</v>
      </c>
      <c r="BE161" s="5"/>
    </row>
    <row r="162" ht="15.75" customHeight="1">
      <c r="A162" s="6">
        <v>697.0</v>
      </c>
      <c r="B162" s="6" t="s">
        <v>644</v>
      </c>
      <c r="C162" s="6" t="s">
        <v>645</v>
      </c>
      <c r="D162" s="5"/>
      <c r="E162" s="6">
        <v>2.0</v>
      </c>
      <c r="F162" s="5"/>
      <c r="G162" s="5"/>
      <c r="H162" s="5"/>
      <c r="I162" s="10"/>
      <c r="J162" s="10"/>
      <c r="K162" s="5"/>
      <c r="L162" s="5"/>
      <c r="M162" s="5"/>
      <c r="N162" s="5"/>
      <c r="O162" s="5"/>
      <c r="P162" s="5"/>
      <c r="Q162" s="6" t="s">
        <v>63</v>
      </c>
      <c r="R162" s="5"/>
      <c r="S162" s="6" t="s">
        <v>640</v>
      </c>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6" t="s">
        <v>69</v>
      </c>
      <c r="BC162" s="5"/>
      <c r="BD162" s="6" t="s">
        <v>69</v>
      </c>
      <c r="BE162" s="5"/>
    </row>
    <row r="163" ht="15.75" customHeight="1">
      <c r="A163" s="5"/>
      <c r="B163" s="5"/>
      <c r="C163" s="5"/>
      <c r="D163" s="5"/>
      <c r="E163" s="5"/>
      <c r="F163" s="5"/>
      <c r="G163" s="5"/>
      <c r="H163" s="5"/>
      <c r="I163" s="10"/>
      <c r="J163" s="10"/>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6" t="s">
        <v>69</v>
      </c>
      <c r="BC163" s="5"/>
      <c r="BD163" s="6" t="s">
        <v>69</v>
      </c>
      <c r="BE163" s="5"/>
    </row>
    <row r="164" ht="15.75" customHeight="1">
      <c r="A164" s="5"/>
      <c r="B164" s="6" t="s">
        <v>646</v>
      </c>
      <c r="C164" s="6" t="s">
        <v>647</v>
      </c>
      <c r="D164" s="6" t="s">
        <v>648</v>
      </c>
      <c r="E164" s="6">
        <v>4.0</v>
      </c>
      <c r="F164" s="5"/>
      <c r="G164" s="5"/>
      <c r="H164" s="5"/>
      <c r="I164" s="10"/>
      <c r="J164" s="10"/>
      <c r="K164" s="5"/>
      <c r="L164" s="5"/>
      <c r="M164" s="5"/>
      <c r="N164" s="5"/>
      <c r="O164" s="5"/>
      <c r="P164" s="5"/>
      <c r="Q164" s="6" t="s">
        <v>63</v>
      </c>
      <c r="R164" s="5"/>
      <c r="S164" s="6" t="s">
        <v>649</v>
      </c>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6" t="s">
        <v>69</v>
      </c>
      <c r="BC164" s="5"/>
      <c r="BD164" s="6" t="s">
        <v>69</v>
      </c>
      <c r="BE164" s="5"/>
    </row>
    <row r="165" ht="15.75" customHeight="1">
      <c r="A165" s="6">
        <v>711.0</v>
      </c>
      <c r="B165" s="6" t="s">
        <v>487</v>
      </c>
      <c r="C165" s="6" t="s">
        <v>488</v>
      </c>
      <c r="D165" s="5"/>
      <c r="E165" s="6">
        <v>2.0</v>
      </c>
      <c r="F165" s="5"/>
      <c r="G165" s="5"/>
      <c r="H165" s="5"/>
      <c r="I165" s="10"/>
      <c r="J165" s="10"/>
      <c r="K165" s="5"/>
      <c r="L165" s="5"/>
      <c r="M165" s="5"/>
      <c r="N165" s="5"/>
      <c r="O165" s="5"/>
      <c r="P165" s="5"/>
      <c r="Q165" s="6" t="s">
        <v>171</v>
      </c>
      <c r="R165" s="5"/>
      <c r="S165" s="6" t="s">
        <v>650</v>
      </c>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6" t="s">
        <v>69</v>
      </c>
      <c r="BC165" s="5"/>
      <c r="BD165" s="6" t="s">
        <v>69</v>
      </c>
      <c r="BE165" s="5"/>
    </row>
    <row r="166" ht="15.75" customHeight="1">
      <c r="A166" s="6">
        <v>648.0</v>
      </c>
      <c r="B166" s="6" t="s">
        <v>453</v>
      </c>
      <c r="C166" s="6" t="s">
        <v>651</v>
      </c>
      <c r="D166" s="5"/>
      <c r="E166" s="6">
        <v>2.0</v>
      </c>
      <c r="F166" s="6" t="s">
        <v>652</v>
      </c>
      <c r="G166" s="5"/>
      <c r="H166" s="5"/>
      <c r="I166" s="10"/>
      <c r="J166" s="10"/>
      <c r="K166" s="5"/>
      <c r="L166" s="5"/>
      <c r="M166" s="5"/>
      <c r="N166" s="5"/>
      <c r="O166" s="5"/>
      <c r="P166" s="5"/>
      <c r="Q166" s="6" t="s">
        <v>63</v>
      </c>
      <c r="R166" s="5"/>
      <c r="S166" s="6" t="s">
        <v>653</v>
      </c>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6" t="s">
        <v>69</v>
      </c>
      <c r="BC166" s="5"/>
      <c r="BD166" s="6" t="s">
        <v>69</v>
      </c>
      <c r="BE166" s="5"/>
    </row>
    <row r="167" ht="15.75" customHeight="1">
      <c r="A167" s="5"/>
      <c r="B167" s="6" t="s">
        <v>654</v>
      </c>
      <c r="C167" s="6" t="s">
        <v>655</v>
      </c>
      <c r="D167" s="6" t="s">
        <v>656</v>
      </c>
      <c r="E167" s="6">
        <v>4.0</v>
      </c>
      <c r="F167" s="5"/>
      <c r="G167" s="5"/>
      <c r="H167" s="5"/>
      <c r="I167" s="10"/>
      <c r="J167" s="10"/>
      <c r="K167" s="5"/>
      <c r="L167" s="5"/>
      <c r="M167" s="5"/>
      <c r="N167" s="5"/>
      <c r="O167" s="5"/>
      <c r="P167" s="5"/>
      <c r="Q167" s="6" t="s">
        <v>63</v>
      </c>
      <c r="R167" s="5"/>
      <c r="S167" s="6" t="s">
        <v>657</v>
      </c>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6" t="s">
        <v>69</v>
      </c>
      <c r="BC167" s="5"/>
      <c r="BD167" s="6" t="s">
        <v>69</v>
      </c>
      <c r="BE167" s="5"/>
    </row>
    <row r="168" ht="15.75" customHeight="1">
      <c r="A168" s="6">
        <v>706.0</v>
      </c>
      <c r="B168" s="6" t="s">
        <v>658</v>
      </c>
      <c r="C168" s="6" t="s">
        <v>659</v>
      </c>
      <c r="D168" s="5"/>
      <c r="E168" s="6">
        <v>2.0</v>
      </c>
      <c r="F168" s="5"/>
      <c r="G168" s="5"/>
      <c r="H168" s="5"/>
      <c r="I168" s="10"/>
      <c r="J168" s="10"/>
      <c r="K168" s="5"/>
      <c r="L168" s="5"/>
      <c r="M168" s="5"/>
      <c r="N168" s="5"/>
      <c r="O168" s="5"/>
      <c r="P168" s="5"/>
      <c r="Q168" s="6" t="s">
        <v>63</v>
      </c>
      <c r="R168" s="5"/>
      <c r="S168" s="6" t="s">
        <v>660</v>
      </c>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6" t="s">
        <v>69</v>
      </c>
      <c r="BC168" s="5"/>
      <c r="BD168" s="6" t="s">
        <v>69</v>
      </c>
      <c r="BE168" s="5"/>
    </row>
    <row r="169" ht="15.75" customHeight="1">
      <c r="A169" s="6">
        <v>723.0</v>
      </c>
      <c r="B169" s="6" t="s">
        <v>661</v>
      </c>
      <c r="C169" s="6" t="s">
        <v>662</v>
      </c>
      <c r="D169" s="5"/>
      <c r="E169" s="6">
        <v>2.0</v>
      </c>
      <c r="F169" s="5"/>
      <c r="G169" s="5"/>
      <c r="H169" s="5"/>
      <c r="I169" s="10"/>
      <c r="J169" s="10"/>
      <c r="K169" s="5"/>
      <c r="L169" s="5"/>
      <c r="M169" s="5"/>
      <c r="N169" s="5"/>
      <c r="O169" s="5"/>
      <c r="P169" s="5"/>
      <c r="Q169" s="6" t="s">
        <v>171</v>
      </c>
      <c r="R169" s="5"/>
      <c r="S169" s="6" t="s">
        <v>438</v>
      </c>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6" t="s">
        <v>69</v>
      </c>
      <c r="BC169" s="5"/>
      <c r="BD169" s="6" t="s">
        <v>69</v>
      </c>
      <c r="BE169" s="5"/>
    </row>
    <row r="170" ht="15.75" customHeight="1">
      <c r="A170" s="5"/>
      <c r="B170" s="6" t="s">
        <v>663</v>
      </c>
      <c r="C170" s="6" t="s">
        <v>664</v>
      </c>
      <c r="D170" s="6" t="s">
        <v>665</v>
      </c>
      <c r="E170" s="6">
        <v>7.0</v>
      </c>
      <c r="F170" s="6" t="s">
        <v>666</v>
      </c>
      <c r="G170" s="5"/>
      <c r="H170" s="5"/>
      <c r="I170" s="10"/>
      <c r="J170" s="10"/>
      <c r="K170" s="5"/>
      <c r="L170" s="5"/>
      <c r="M170" s="5"/>
      <c r="N170" s="5"/>
      <c r="O170" s="5"/>
      <c r="P170" s="5"/>
      <c r="Q170" s="6" t="s">
        <v>63</v>
      </c>
      <c r="R170" s="5"/>
      <c r="S170" s="6" t="s">
        <v>191</v>
      </c>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6" t="s">
        <v>69</v>
      </c>
      <c r="BC170" s="5"/>
      <c r="BD170" s="6" t="s">
        <v>69</v>
      </c>
      <c r="BE170" s="5"/>
    </row>
    <row r="171" ht="15.75" customHeight="1">
      <c r="A171" s="5"/>
      <c r="B171" s="6" t="s">
        <v>667</v>
      </c>
      <c r="C171" s="6" t="s">
        <v>668</v>
      </c>
      <c r="D171" s="6" t="s">
        <v>669</v>
      </c>
      <c r="E171" s="6">
        <v>4.0</v>
      </c>
      <c r="F171" s="5"/>
      <c r="G171" s="5"/>
      <c r="H171" s="5"/>
      <c r="I171" s="10"/>
      <c r="J171" s="10"/>
      <c r="K171" s="5"/>
      <c r="L171" s="5"/>
      <c r="M171" s="5"/>
      <c r="N171" s="5"/>
      <c r="O171" s="5"/>
      <c r="P171" s="5"/>
      <c r="Q171" s="6" t="s">
        <v>63</v>
      </c>
      <c r="R171" s="5"/>
      <c r="S171" s="6" t="s">
        <v>360</v>
      </c>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6" t="s">
        <v>69</v>
      </c>
      <c r="BC171" s="5"/>
      <c r="BD171" s="6" t="s">
        <v>69</v>
      </c>
      <c r="BE171" s="5"/>
    </row>
    <row r="172" ht="15.75" customHeight="1">
      <c r="A172" s="6">
        <v>729.0</v>
      </c>
      <c r="B172" s="6" t="s">
        <v>670</v>
      </c>
      <c r="C172" s="6" t="s">
        <v>671</v>
      </c>
      <c r="D172" s="5"/>
      <c r="E172" s="6">
        <v>2.0</v>
      </c>
      <c r="F172" s="5"/>
      <c r="G172" s="5"/>
      <c r="H172" s="5"/>
      <c r="I172" s="10"/>
      <c r="J172" s="10"/>
      <c r="K172" s="5"/>
      <c r="L172" s="5"/>
      <c r="M172" s="5"/>
      <c r="N172" s="5"/>
      <c r="O172" s="5"/>
      <c r="P172" s="5"/>
      <c r="Q172" s="6" t="s">
        <v>171</v>
      </c>
      <c r="R172" s="5"/>
      <c r="S172" s="6" t="s">
        <v>672</v>
      </c>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6" t="s">
        <v>69</v>
      </c>
      <c r="BC172" s="5"/>
      <c r="BD172" s="6" t="s">
        <v>69</v>
      </c>
      <c r="BE172" s="5"/>
    </row>
    <row r="173" ht="15.75" customHeight="1">
      <c r="A173" s="5"/>
      <c r="B173" s="6" t="s">
        <v>673</v>
      </c>
      <c r="C173" s="6" t="s">
        <v>674</v>
      </c>
      <c r="D173" s="6" t="s">
        <v>675</v>
      </c>
      <c r="E173" s="6">
        <v>4.0</v>
      </c>
      <c r="F173" s="5"/>
      <c r="G173" s="5"/>
      <c r="H173" s="5"/>
      <c r="I173" s="10"/>
      <c r="J173" s="10"/>
      <c r="K173" s="5"/>
      <c r="L173" s="5"/>
      <c r="M173" s="5"/>
      <c r="N173" s="5"/>
      <c r="O173" s="5"/>
      <c r="P173" s="5"/>
      <c r="Q173" s="6" t="s">
        <v>63</v>
      </c>
      <c r="R173" s="5"/>
      <c r="S173" s="6" t="s">
        <v>360</v>
      </c>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6" t="s">
        <v>69</v>
      </c>
      <c r="BC173" s="5"/>
      <c r="BD173" s="6" t="s">
        <v>69</v>
      </c>
      <c r="BE173" s="5"/>
    </row>
    <row r="174" ht="15.75" customHeight="1">
      <c r="A174" s="5"/>
      <c r="B174" s="6" t="s">
        <v>676</v>
      </c>
      <c r="C174" s="6" t="s">
        <v>677</v>
      </c>
      <c r="D174" s="6" t="s">
        <v>678</v>
      </c>
      <c r="E174" s="6">
        <v>4.0</v>
      </c>
      <c r="F174" s="5"/>
      <c r="G174" s="5"/>
      <c r="H174" s="5"/>
      <c r="I174" s="10"/>
      <c r="J174" s="10"/>
      <c r="K174" s="5"/>
      <c r="L174" s="5"/>
      <c r="M174" s="5"/>
      <c r="N174" s="5"/>
      <c r="O174" s="5"/>
      <c r="P174" s="5"/>
      <c r="Q174" s="6" t="s">
        <v>63</v>
      </c>
      <c r="R174" s="5"/>
      <c r="S174" s="6" t="s">
        <v>360</v>
      </c>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6" t="s">
        <v>69</v>
      </c>
      <c r="BC174" s="5"/>
      <c r="BD174" s="6" t="s">
        <v>69</v>
      </c>
      <c r="BE174" s="5"/>
    </row>
    <row r="175" ht="15.75" customHeight="1">
      <c r="A175" s="6">
        <v>694.0</v>
      </c>
      <c r="B175" s="6" t="s">
        <v>679</v>
      </c>
      <c r="C175" s="6" t="s">
        <v>680</v>
      </c>
      <c r="D175" s="5"/>
      <c r="E175" s="6">
        <v>3.0</v>
      </c>
      <c r="F175" s="5"/>
      <c r="G175" s="5"/>
      <c r="H175" s="5"/>
      <c r="I175" s="10"/>
      <c r="J175" s="10"/>
      <c r="K175" s="5"/>
      <c r="L175" s="5"/>
      <c r="M175" s="5"/>
      <c r="N175" s="5"/>
      <c r="O175" s="5"/>
      <c r="P175" s="5"/>
      <c r="Q175" s="6" t="s">
        <v>171</v>
      </c>
      <c r="R175" s="5"/>
      <c r="S175" s="6" t="s">
        <v>681</v>
      </c>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row>
    <row r="176" ht="15.75" customHeight="1">
      <c r="A176" s="6">
        <v>688.0</v>
      </c>
      <c r="B176" s="6" t="s">
        <v>682</v>
      </c>
      <c r="C176" s="6" t="s">
        <v>179</v>
      </c>
      <c r="D176" s="5"/>
      <c r="E176" s="6">
        <v>3.0</v>
      </c>
      <c r="F176" s="5"/>
      <c r="G176" s="5"/>
      <c r="H176" s="5"/>
      <c r="I176" s="10"/>
      <c r="J176" s="10"/>
      <c r="K176" s="5"/>
      <c r="L176" s="5"/>
      <c r="M176" s="5"/>
      <c r="N176" s="5"/>
      <c r="O176" s="5"/>
      <c r="P176" s="5"/>
      <c r="Q176" s="6" t="s">
        <v>63</v>
      </c>
      <c r="R176" s="5"/>
      <c r="S176" s="6" t="s">
        <v>683</v>
      </c>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row>
    <row r="177" ht="15.75" customHeight="1">
      <c r="A177" s="6">
        <v>662.0</v>
      </c>
      <c r="B177" s="6" t="s">
        <v>684</v>
      </c>
      <c r="C177" s="6" t="s">
        <v>634</v>
      </c>
      <c r="D177" s="5"/>
      <c r="E177" s="6">
        <v>3.0</v>
      </c>
      <c r="F177" s="5"/>
      <c r="G177" s="5"/>
      <c r="H177" s="5"/>
      <c r="I177" s="10"/>
      <c r="J177" s="10"/>
      <c r="K177" s="5"/>
      <c r="L177" s="5"/>
      <c r="M177" s="5"/>
      <c r="N177" s="5"/>
      <c r="O177" s="5"/>
      <c r="P177" s="5"/>
      <c r="Q177" s="6" t="s">
        <v>63</v>
      </c>
      <c r="R177" s="5"/>
      <c r="S177" s="6" t="s">
        <v>660</v>
      </c>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row>
    <row r="178" ht="15.75" customHeight="1">
      <c r="A178" s="6">
        <v>661.0</v>
      </c>
      <c r="B178" s="6" t="s">
        <v>684</v>
      </c>
      <c r="C178" s="6" t="s">
        <v>685</v>
      </c>
      <c r="D178" s="5"/>
      <c r="E178" s="6">
        <v>3.0</v>
      </c>
      <c r="F178" s="5"/>
      <c r="G178" s="5"/>
      <c r="H178" s="5"/>
      <c r="I178" s="10"/>
      <c r="J178" s="10"/>
      <c r="K178" s="5"/>
      <c r="L178" s="5"/>
      <c r="M178" s="5"/>
      <c r="N178" s="5"/>
      <c r="O178" s="5"/>
      <c r="P178" s="5"/>
      <c r="Q178" s="6" t="s">
        <v>63</v>
      </c>
      <c r="R178" s="5"/>
      <c r="S178" s="6" t="s">
        <v>686</v>
      </c>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row>
    <row r="179" ht="15.75" customHeight="1">
      <c r="A179" s="6">
        <v>634.0</v>
      </c>
      <c r="B179" s="6" t="s">
        <v>339</v>
      </c>
      <c r="C179" s="6" t="s">
        <v>687</v>
      </c>
      <c r="D179" s="6" t="s">
        <v>688</v>
      </c>
      <c r="E179" s="6">
        <v>3.0</v>
      </c>
      <c r="F179" s="5"/>
      <c r="G179" s="5"/>
      <c r="H179" s="5"/>
      <c r="I179" s="10"/>
      <c r="J179" s="10"/>
      <c r="K179" s="5"/>
      <c r="L179" s="5"/>
      <c r="M179" s="5"/>
      <c r="N179" s="5"/>
      <c r="O179" s="5"/>
      <c r="P179" s="5"/>
      <c r="Q179" s="6" t="s">
        <v>171</v>
      </c>
      <c r="R179" s="5"/>
      <c r="S179" s="6" t="s">
        <v>689</v>
      </c>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row>
    <row r="180" ht="15.75" customHeight="1">
      <c r="A180" s="5"/>
      <c r="B180" s="6" t="s">
        <v>690</v>
      </c>
      <c r="C180" s="6" t="s">
        <v>691</v>
      </c>
      <c r="D180" s="5"/>
      <c r="E180" s="6">
        <v>3.0</v>
      </c>
      <c r="F180" s="5"/>
      <c r="G180" s="5"/>
      <c r="H180" s="5"/>
      <c r="I180" s="10"/>
      <c r="J180" s="10"/>
      <c r="K180" s="5"/>
      <c r="L180" s="5"/>
      <c r="M180" s="5"/>
      <c r="N180" s="5"/>
      <c r="O180" s="5"/>
      <c r="P180" s="5"/>
      <c r="Q180" s="6" t="s">
        <v>63</v>
      </c>
      <c r="R180" s="5"/>
      <c r="S180" s="6" t="s">
        <v>660</v>
      </c>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row>
    <row r="181" ht="15.75" customHeight="1">
      <c r="A181" s="5"/>
      <c r="B181" s="6" t="s">
        <v>692</v>
      </c>
      <c r="C181" s="6" t="s">
        <v>453</v>
      </c>
      <c r="D181" s="6" t="s">
        <v>693</v>
      </c>
      <c r="E181" s="6">
        <v>7.0</v>
      </c>
      <c r="F181" s="5"/>
      <c r="G181" s="5"/>
      <c r="H181" s="5"/>
      <c r="I181" s="10"/>
      <c r="J181" s="10"/>
      <c r="K181" s="5"/>
      <c r="L181" s="5"/>
      <c r="M181" s="5"/>
      <c r="N181" s="5"/>
      <c r="O181" s="5"/>
      <c r="P181" s="5"/>
      <c r="Q181" s="6" t="s">
        <v>63</v>
      </c>
      <c r="R181" s="5"/>
      <c r="S181" s="6" t="s">
        <v>694</v>
      </c>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row>
    <row r="182" ht="15.75" customHeight="1">
      <c r="A182" s="6">
        <v>620.0</v>
      </c>
      <c r="B182" s="6" t="s">
        <v>380</v>
      </c>
      <c r="C182" s="6" t="s">
        <v>381</v>
      </c>
      <c r="D182" s="5"/>
      <c r="E182" s="6">
        <v>3.0</v>
      </c>
      <c r="F182" s="5"/>
      <c r="G182" s="5"/>
      <c r="H182" s="5"/>
      <c r="I182" s="10"/>
      <c r="J182" s="10"/>
      <c r="K182" s="5"/>
      <c r="L182" s="5"/>
      <c r="M182" s="5"/>
      <c r="N182" s="5"/>
      <c r="O182" s="5"/>
      <c r="P182" s="5"/>
      <c r="Q182" s="6" t="s">
        <v>63</v>
      </c>
      <c r="R182" s="5"/>
      <c r="S182" s="6" t="s">
        <v>695</v>
      </c>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row>
    <row r="183" ht="15.75" customHeight="1">
      <c r="A183" s="6">
        <v>763.0</v>
      </c>
      <c r="B183" s="6" t="s">
        <v>54</v>
      </c>
      <c r="C183" s="6" t="s">
        <v>55</v>
      </c>
      <c r="D183" s="6" t="s">
        <v>696</v>
      </c>
      <c r="E183" s="6">
        <v>3.0</v>
      </c>
      <c r="F183" s="6" t="s">
        <v>57</v>
      </c>
      <c r="G183" s="5"/>
      <c r="H183" s="5"/>
      <c r="I183" s="10"/>
      <c r="J183" s="10"/>
      <c r="K183" s="5"/>
      <c r="L183" s="5"/>
      <c r="M183" s="5"/>
      <c r="N183" s="5"/>
      <c r="O183" s="6">
        <v>2016.0</v>
      </c>
      <c r="P183" s="6" t="s">
        <v>697</v>
      </c>
      <c r="Q183" s="6" t="s">
        <v>63</v>
      </c>
      <c r="R183" s="5"/>
      <c r="S183" s="6" t="s">
        <v>698</v>
      </c>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row>
    <row r="184" ht="15.75" customHeight="1">
      <c r="A184" s="5"/>
      <c r="B184" s="6" t="s">
        <v>699</v>
      </c>
      <c r="C184" s="6" t="s">
        <v>700</v>
      </c>
      <c r="D184" s="6" t="s">
        <v>701</v>
      </c>
      <c r="E184" s="6">
        <v>7.0</v>
      </c>
      <c r="F184" s="5"/>
      <c r="G184" s="5"/>
      <c r="H184" s="5"/>
      <c r="I184" s="10"/>
      <c r="J184" s="10"/>
      <c r="K184" s="5"/>
      <c r="L184" s="5"/>
      <c r="M184" s="5"/>
      <c r="N184" s="5"/>
      <c r="O184" s="5"/>
      <c r="P184" s="5"/>
      <c r="Q184" s="6" t="s">
        <v>63</v>
      </c>
      <c r="R184" s="5"/>
      <c r="S184" s="6" t="s">
        <v>702</v>
      </c>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row>
    <row r="185" ht="15.75" customHeight="1">
      <c r="A185" s="5"/>
      <c r="B185" s="6" t="s">
        <v>703</v>
      </c>
      <c r="C185" s="6" t="s">
        <v>704</v>
      </c>
      <c r="D185" s="6" t="s">
        <v>705</v>
      </c>
      <c r="E185" s="6">
        <v>4.0</v>
      </c>
      <c r="F185" s="5"/>
      <c r="G185" s="5"/>
      <c r="H185" s="5"/>
      <c r="I185" s="10"/>
      <c r="J185" s="10"/>
      <c r="K185" s="5"/>
      <c r="L185" s="5"/>
      <c r="M185" s="5"/>
      <c r="N185" s="5"/>
      <c r="O185" s="5"/>
      <c r="P185" s="5"/>
      <c r="Q185" s="6" t="s">
        <v>63</v>
      </c>
      <c r="R185" s="5"/>
      <c r="S185" s="6" t="s">
        <v>706</v>
      </c>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row>
    <row r="186" ht="15.75" customHeight="1">
      <c r="A186" s="5"/>
      <c r="B186" s="6" t="s">
        <v>707</v>
      </c>
      <c r="C186" s="6" t="s">
        <v>708</v>
      </c>
      <c r="D186" s="6" t="s">
        <v>345</v>
      </c>
      <c r="E186" s="6">
        <v>7.0</v>
      </c>
      <c r="F186" s="5"/>
      <c r="G186" s="5"/>
      <c r="H186" s="5"/>
      <c r="I186" s="10"/>
      <c r="J186" s="10"/>
      <c r="K186" s="5"/>
      <c r="L186" s="5"/>
      <c r="M186" s="5"/>
      <c r="N186" s="5"/>
      <c r="O186" s="5"/>
      <c r="P186" s="5"/>
      <c r="Q186" s="6" t="s">
        <v>63</v>
      </c>
      <c r="R186" s="5"/>
      <c r="S186" s="6" t="s">
        <v>709</v>
      </c>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row>
    <row r="187" ht="15.75" customHeight="1">
      <c r="A187" s="5"/>
      <c r="B187" s="6" t="s">
        <v>710</v>
      </c>
      <c r="C187" s="6" t="s">
        <v>116</v>
      </c>
      <c r="D187" s="6" t="s">
        <v>711</v>
      </c>
      <c r="E187" s="6">
        <v>4.0</v>
      </c>
      <c r="F187" s="5"/>
      <c r="G187" s="5"/>
      <c r="H187" s="5"/>
      <c r="I187" s="10"/>
      <c r="J187" s="10"/>
      <c r="K187" s="5"/>
      <c r="L187" s="5"/>
      <c r="M187" s="5"/>
      <c r="N187" s="5"/>
      <c r="O187" s="5"/>
      <c r="P187" s="5"/>
      <c r="Q187" s="6" t="s">
        <v>63</v>
      </c>
      <c r="R187" s="5"/>
      <c r="S187" s="6" t="s">
        <v>695</v>
      </c>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row>
    <row r="188" ht="15.75" customHeight="1">
      <c r="A188" s="5"/>
      <c r="B188" s="6" t="s">
        <v>712</v>
      </c>
      <c r="C188" s="6" t="s">
        <v>55</v>
      </c>
      <c r="D188" s="6" t="s">
        <v>696</v>
      </c>
      <c r="E188" s="6">
        <v>4.0</v>
      </c>
      <c r="F188" s="5"/>
      <c r="G188" s="5"/>
      <c r="H188" s="5"/>
      <c r="I188" s="10"/>
      <c r="J188" s="10"/>
      <c r="K188" s="5"/>
      <c r="L188" s="5"/>
      <c r="M188" s="5"/>
      <c r="N188" s="5"/>
      <c r="O188" s="6">
        <v>2016.0</v>
      </c>
      <c r="P188" s="6" t="s">
        <v>73</v>
      </c>
      <c r="Q188" s="6" t="s">
        <v>63</v>
      </c>
      <c r="R188" s="5"/>
      <c r="S188" s="6" t="s">
        <v>698</v>
      </c>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row>
    <row r="189" ht="15.75" customHeight="1">
      <c r="A189" s="5"/>
      <c r="B189" s="6" t="s">
        <v>713</v>
      </c>
      <c r="C189" s="6" t="s">
        <v>714</v>
      </c>
      <c r="D189" s="6" t="s">
        <v>715</v>
      </c>
      <c r="E189" s="6">
        <v>7.0</v>
      </c>
      <c r="F189" s="5"/>
      <c r="G189" s="5"/>
      <c r="H189" s="5"/>
      <c r="I189" s="10"/>
      <c r="J189" s="10"/>
      <c r="K189" s="5"/>
      <c r="L189" s="5"/>
      <c r="M189" s="5"/>
      <c r="N189" s="5"/>
      <c r="O189" s="5"/>
      <c r="P189" s="5"/>
      <c r="Q189" s="6" t="s">
        <v>63</v>
      </c>
      <c r="R189" s="5"/>
      <c r="S189" s="6" t="s">
        <v>716</v>
      </c>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row>
    <row r="190" ht="15.75" customHeight="1">
      <c r="A190" s="5"/>
      <c r="B190" s="6" t="s">
        <v>717</v>
      </c>
      <c r="C190" s="6" t="s">
        <v>718</v>
      </c>
      <c r="D190" s="6" t="s">
        <v>719</v>
      </c>
      <c r="E190" s="6">
        <v>4.0</v>
      </c>
      <c r="F190" s="5"/>
      <c r="G190" s="5"/>
      <c r="H190" s="5"/>
      <c r="I190" s="10"/>
      <c r="J190" s="10"/>
      <c r="K190" s="5"/>
      <c r="L190" s="5"/>
      <c r="M190" s="5"/>
      <c r="N190" s="5"/>
      <c r="O190" s="5"/>
      <c r="P190" s="5"/>
      <c r="Q190" s="6" t="s">
        <v>63</v>
      </c>
      <c r="R190" s="5"/>
      <c r="S190" s="6" t="s">
        <v>360</v>
      </c>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row>
    <row r="191" ht="15.75" customHeight="1">
      <c r="A191" s="5"/>
      <c r="B191" s="6" t="s">
        <v>720</v>
      </c>
      <c r="C191" s="6" t="s">
        <v>721</v>
      </c>
      <c r="D191" s="6" t="s">
        <v>196</v>
      </c>
      <c r="E191" s="6">
        <v>4.0</v>
      </c>
      <c r="F191" s="5"/>
      <c r="G191" s="5"/>
      <c r="H191" s="5"/>
      <c r="I191" s="10"/>
      <c r="J191" s="10"/>
      <c r="K191" s="5"/>
      <c r="L191" s="5"/>
      <c r="M191" s="5"/>
      <c r="N191" s="5"/>
      <c r="O191" s="5"/>
      <c r="P191" s="5"/>
      <c r="Q191" s="6" t="s">
        <v>63</v>
      </c>
      <c r="R191" s="5"/>
      <c r="S191" s="6" t="s">
        <v>722</v>
      </c>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row>
    <row r="192" ht="15.75" customHeight="1">
      <c r="A192" s="5"/>
      <c r="B192" s="6" t="s">
        <v>723</v>
      </c>
      <c r="C192" s="6" t="s">
        <v>724</v>
      </c>
      <c r="D192" s="6" t="s">
        <v>715</v>
      </c>
      <c r="E192" s="6">
        <v>7.0</v>
      </c>
      <c r="F192" s="5"/>
      <c r="G192" s="5"/>
      <c r="H192" s="5"/>
      <c r="I192" s="10"/>
      <c r="J192" s="10"/>
      <c r="K192" s="5"/>
      <c r="L192" s="5"/>
      <c r="M192" s="5"/>
      <c r="N192" s="5"/>
      <c r="O192" s="5"/>
      <c r="P192" s="5"/>
      <c r="Q192" s="6" t="s">
        <v>63</v>
      </c>
      <c r="R192" s="5"/>
      <c r="S192" s="6" t="s">
        <v>716</v>
      </c>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row>
    <row r="193" ht="15.75" customHeight="1">
      <c r="A193" s="5"/>
      <c r="B193" s="6" t="s">
        <v>725</v>
      </c>
      <c r="C193" s="6" t="s">
        <v>726</v>
      </c>
      <c r="D193" s="6" t="s">
        <v>727</v>
      </c>
      <c r="E193" s="6">
        <v>4.0</v>
      </c>
      <c r="F193" s="5"/>
      <c r="G193" s="5"/>
      <c r="H193" s="5"/>
      <c r="I193" s="10"/>
      <c r="J193" s="10"/>
      <c r="K193" s="5"/>
      <c r="L193" s="5"/>
      <c r="M193" s="5"/>
      <c r="N193" s="5"/>
      <c r="O193" s="5"/>
      <c r="P193" s="5"/>
      <c r="Q193" s="6" t="s">
        <v>63</v>
      </c>
      <c r="R193" s="5"/>
      <c r="S193" s="6" t="s">
        <v>728</v>
      </c>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row>
    <row r="194" ht="15.75" customHeight="1">
      <c r="A194" s="6">
        <v>741.0</v>
      </c>
      <c r="B194" s="6" t="s">
        <v>729</v>
      </c>
      <c r="C194" s="6" t="s">
        <v>730</v>
      </c>
      <c r="D194" s="5"/>
      <c r="E194" s="6">
        <v>4.0</v>
      </c>
      <c r="F194" s="5"/>
      <c r="G194" s="5"/>
      <c r="H194" s="5"/>
      <c r="I194" s="10"/>
      <c r="J194" s="10"/>
      <c r="K194" s="5"/>
      <c r="L194" s="5"/>
      <c r="M194" s="5"/>
      <c r="N194" s="5"/>
      <c r="O194" s="5"/>
      <c r="P194" s="5"/>
      <c r="Q194" s="6" t="s">
        <v>63</v>
      </c>
      <c r="R194" s="5"/>
      <c r="S194" s="6" t="s">
        <v>660</v>
      </c>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row>
    <row r="195" ht="15.75" customHeight="1">
      <c r="A195" s="5"/>
      <c r="B195" s="6" t="s">
        <v>731</v>
      </c>
      <c r="C195" s="6" t="s">
        <v>732</v>
      </c>
      <c r="D195" s="6" t="s">
        <v>733</v>
      </c>
      <c r="E195" s="6">
        <v>7.0</v>
      </c>
      <c r="F195" s="5"/>
      <c r="G195" s="5"/>
      <c r="H195" s="5"/>
      <c r="I195" s="10"/>
      <c r="J195" s="10"/>
      <c r="K195" s="5"/>
      <c r="L195" s="5"/>
      <c r="M195" s="5"/>
      <c r="N195" s="5"/>
      <c r="O195" s="5"/>
      <c r="P195" s="5"/>
      <c r="Q195" s="6" t="s">
        <v>63</v>
      </c>
      <c r="R195" s="5"/>
      <c r="S195" s="6" t="s">
        <v>702</v>
      </c>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row>
    <row r="196" ht="15.75" customHeight="1">
      <c r="A196" s="5"/>
      <c r="B196" s="6" t="s">
        <v>734</v>
      </c>
      <c r="C196" s="6" t="s">
        <v>735</v>
      </c>
      <c r="D196" s="6" t="s">
        <v>736</v>
      </c>
      <c r="E196" s="6">
        <v>4.0</v>
      </c>
      <c r="F196" s="5"/>
      <c r="G196" s="5"/>
      <c r="H196" s="5"/>
      <c r="I196" s="10"/>
      <c r="J196" s="10"/>
      <c r="K196" s="5"/>
      <c r="L196" s="5"/>
      <c r="M196" s="5"/>
      <c r="N196" s="5"/>
      <c r="O196" s="5"/>
      <c r="P196" s="5"/>
      <c r="Q196" s="6" t="s">
        <v>737</v>
      </c>
      <c r="R196" s="5"/>
      <c r="S196" s="6" t="s">
        <v>695</v>
      </c>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row>
    <row r="197" ht="15.75" customHeight="1">
      <c r="A197" s="6">
        <v>722.0</v>
      </c>
      <c r="B197" s="6" t="s">
        <v>357</v>
      </c>
      <c r="C197" s="6" t="s">
        <v>738</v>
      </c>
      <c r="D197" s="5"/>
      <c r="E197" s="6">
        <v>4.0</v>
      </c>
      <c r="F197" s="5"/>
      <c r="G197" s="5"/>
      <c r="H197" s="5"/>
      <c r="I197" s="10"/>
      <c r="J197" s="10"/>
      <c r="K197" s="5"/>
      <c r="L197" s="5"/>
      <c r="M197" s="5"/>
      <c r="N197" s="5"/>
      <c r="O197" s="5"/>
      <c r="P197" s="5"/>
      <c r="Q197" s="6" t="s">
        <v>63</v>
      </c>
      <c r="R197" s="5"/>
      <c r="S197" s="6" t="s">
        <v>739</v>
      </c>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row>
    <row r="198" ht="15.75" customHeight="1">
      <c r="A198" s="5"/>
      <c r="B198" s="6" t="s">
        <v>740</v>
      </c>
      <c r="C198" s="6" t="s">
        <v>741</v>
      </c>
      <c r="D198" s="5"/>
      <c r="E198" s="6">
        <v>7.0</v>
      </c>
      <c r="F198" s="5"/>
      <c r="G198" s="5"/>
      <c r="H198" s="5"/>
      <c r="I198" s="10"/>
      <c r="J198" s="10"/>
      <c r="K198" s="5"/>
      <c r="L198" s="5"/>
      <c r="M198" s="5"/>
      <c r="N198" s="5"/>
      <c r="O198" s="5"/>
      <c r="P198" s="5"/>
      <c r="Q198" s="6" t="s">
        <v>63</v>
      </c>
      <c r="R198" s="5"/>
      <c r="S198" s="6" t="s">
        <v>702</v>
      </c>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row>
    <row r="199" ht="15.75" customHeight="1">
      <c r="A199" s="5"/>
      <c r="B199" s="6" t="s">
        <v>742</v>
      </c>
      <c r="C199" s="6" t="s">
        <v>743</v>
      </c>
      <c r="D199" s="6" t="s">
        <v>744</v>
      </c>
      <c r="E199" s="6">
        <v>4.0</v>
      </c>
      <c r="F199" s="5"/>
      <c r="G199" s="5"/>
      <c r="H199" s="5"/>
      <c r="I199" s="10"/>
      <c r="J199" s="10"/>
      <c r="K199" s="5"/>
      <c r="L199" s="5"/>
      <c r="M199" s="5"/>
      <c r="N199" s="5"/>
      <c r="O199" s="5"/>
      <c r="P199" s="5"/>
      <c r="Q199" s="6" t="s">
        <v>171</v>
      </c>
      <c r="R199" s="5"/>
      <c r="S199" s="6" t="s">
        <v>745</v>
      </c>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row>
    <row r="200" ht="15.75" customHeight="1">
      <c r="A200" s="6">
        <v>714.0</v>
      </c>
      <c r="B200" s="6" t="s">
        <v>746</v>
      </c>
      <c r="C200" s="6" t="s">
        <v>747</v>
      </c>
      <c r="D200" s="5"/>
      <c r="E200" s="6">
        <v>4.0</v>
      </c>
      <c r="F200" s="5"/>
      <c r="G200" s="5"/>
      <c r="H200" s="5"/>
      <c r="I200" s="10"/>
      <c r="J200" s="10"/>
      <c r="K200" s="5"/>
      <c r="L200" s="5"/>
      <c r="M200" s="5"/>
      <c r="N200" s="5"/>
      <c r="O200" s="5"/>
      <c r="P200" s="5"/>
      <c r="Q200" s="6" t="s">
        <v>63</v>
      </c>
      <c r="R200" s="5"/>
      <c r="S200" s="6" t="s">
        <v>748</v>
      </c>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row>
    <row r="201" ht="15.75" customHeight="1">
      <c r="A201" s="5"/>
      <c r="B201" s="6" t="s">
        <v>749</v>
      </c>
      <c r="C201" s="6" t="s">
        <v>750</v>
      </c>
      <c r="D201" s="6" t="s">
        <v>751</v>
      </c>
      <c r="E201" s="6">
        <v>5.0</v>
      </c>
      <c r="F201" s="5"/>
      <c r="G201" s="5"/>
      <c r="H201" s="5"/>
      <c r="I201" s="10"/>
      <c r="J201" s="10"/>
      <c r="K201" s="5"/>
      <c r="L201" s="5"/>
      <c r="M201" s="5"/>
      <c r="N201" s="5"/>
      <c r="O201" s="5"/>
      <c r="P201" s="5"/>
      <c r="Q201" s="6" t="s">
        <v>171</v>
      </c>
      <c r="R201" s="5"/>
      <c r="S201" s="6" t="s">
        <v>752</v>
      </c>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row>
    <row r="202" ht="15.75" customHeight="1">
      <c r="A202" s="5"/>
      <c r="B202" s="6" t="s">
        <v>753</v>
      </c>
      <c r="C202" s="6" t="s">
        <v>754</v>
      </c>
      <c r="D202" s="6" t="s">
        <v>755</v>
      </c>
      <c r="E202" s="6">
        <v>4.0</v>
      </c>
      <c r="F202" s="5"/>
      <c r="G202" s="5"/>
      <c r="H202" s="5"/>
      <c r="I202" s="10"/>
      <c r="J202" s="10"/>
      <c r="K202" s="5"/>
      <c r="L202" s="5"/>
      <c r="M202" s="5"/>
      <c r="N202" s="5"/>
      <c r="O202" s="5"/>
      <c r="P202" s="5"/>
      <c r="Q202" s="6" t="s">
        <v>63</v>
      </c>
      <c r="R202" s="5"/>
      <c r="S202" s="6" t="s">
        <v>756</v>
      </c>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row>
    <row r="203" ht="15.75" customHeight="1">
      <c r="A203" s="6">
        <v>709.0</v>
      </c>
      <c r="B203" s="6" t="s">
        <v>757</v>
      </c>
      <c r="C203" s="6" t="s">
        <v>758</v>
      </c>
      <c r="D203" s="5"/>
      <c r="E203" s="6">
        <v>4.0</v>
      </c>
      <c r="F203" s="5"/>
      <c r="G203" s="5"/>
      <c r="H203" s="5"/>
      <c r="I203" s="10"/>
      <c r="J203" s="10"/>
      <c r="K203" s="5"/>
      <c r="L203" s="5"/>
      <c r="M203" s="5"/>
      <c r="N203" s="5"/>
      <c r="O203" s="5"/>
      <c r="P203" s="5"/>
      <c r="Q203" s="6" t="s">
        <v>63</v>
      </c>
      <c r="R203" s="5"/>
      <c r="S203" s="6" t="s">
        <v>759</v>
      </c>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row>
    <row r="204" ht="15.75" customHeight="1">
      <c r="A204" s="5"/>
      <c r="B204" s="6" t="s">
        <v>760</v>
      </c>
      <c r="C204" s="6" t="s">
        <v>553</v>
      </c>
      <c r="D204" s="6" t="s">
        <v>761</v>
      </c>
      <c r="E204" s="6">
        <v>5.0</v>
      </c>
      <c r="F204" s="5"/>
      <c r="G204" s="5"/>
      <c r="H204" s="5"/>
      <c r="I204" s="10"/>
      <c r="J204" s="10"/>
      <c r="K204" s="5"/>
      <c r="L204" s="5"/>
      <c r="M204" s="5"/>
      <c r="N204" s="5"/>
      <c r="O204" s="5"/>
      <c r="P204" s="5"/>
      <c r="Q204" s="6" t="s">
        <v>63</v>
      </c>
      <c r="R204" s="5"/>
      <c r="S204" s="6" t="s">
        <v>446</v>
      </c>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row>
    <row r="205" ht="15.75" customHeight="1">
      <c r="A205" s="5"/>
      <c r="B205" s="6" t="s">
        <v>762</v>
      </c>
      <c r="C205" s="6" t="s">
        <v>763</v>
      </c>
      <c r="D205" s="6" t="s">
        <v>196</v>
      </c>
      <c r="E205" s="6">
        <v>4.0</v>
      </c>
      <c r="F205" s="5"/>
      <c r="G205" s="5"/>
      <c r="H205" s="5"/>
      <c r="I205" s="10"/>
      <c r="J205" s="10"/>
      <c r="K205" s="5"/>
      <c r="L205" s="5"/>
      <c r="M205" s="5"/>
      <c r="N205" s="5"/>
      <c r="O205" s="5"/>
      <c r="P205" s="5"/>
      <c r="Q205" s="6" t="s">
        <v>63</v>
      </c>
      <c r="R205" s="5"/>
      <c r="S205" s="6" t="s">
        <v>764</v>
      </c>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row>
    <row r="206" ht="15.75" customHeight="1">
      <c r="A206" s="6">
        <v>710.0</v>
      </c>
      <c r="B206" s="6" t="s">
        <v>765</v>
      </c>
      <c r="C206" s="6" t="s">
        <v>766</v>
      </c>
      <c r="D206" s="6" t="s">
        <v>758</v>
      </c>
      <c r="E206" s="6">
        <v>3.0</v>
      </c>
      <c r="F206" s="5"/>
      <c r="G206" s="5"/>
      <c r="H206" s="5"/>
      <c r="I206" s="10"/>
      <c r="J206" s="10"/>
      <c r="K206" s="5"/>
      <c r="L206" s="5"/>
      <c r="M206" s="5"/>
      <c r="N206" s="5"/>
      <c r="O206" s="5"/>
      <c r="P206" s="5"/>
      <c r="Q206" s="6" t="s">
        <v>63</v>
      </c>
      <c r="R206" s="5"/>
      <c r="S206" s="6" t="s">
        <v>759</v>
      </c>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row>
    <row r="207" ht="15.75" customHeight="1">
      <c r="A207" s="5"/>
      <c r="B207" s="6" t="s">
        <v>528</v>
      </c>
      <c r="C207" s="6" t="s">
        <v>767</v>
      </c>
      <c r="D207" s="6" t="s">
        <v>768</v>
      </c>
      <c r="E207" s="6">
        <v>4.0</v>
      </c>
      <c r="F207" s="5"/>
      <c r="G207" s="5"/>
      <c r="H207" s="5"/>
      <c r="I207" s="10"/>
      <c r="J207" s="10"/>
      <c r="K207" s="5"/>
      <c r="L207" s="5"/>
      <c r="M207" s="5"/>
      <c r="N207" s="5"/>
      <c r="O207" s="5"/>
      <c r="P207" s="5"/>
      <c r="Q207" s="6" t="s">
        <v>63</v>
      </c>
      <c r="R207" s="5"/>
      <c r="S207" s="6" t="s">
        <v>698</v>
      </c>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row>
    <row r="208" ht="15.75" customHeight="1">
      <c r="A208" s="5"/>
      <c r="B208" s="6" t="s">
        <v>769</v>
      </c>
      <c r="C208" s="6" t="s">
        <v>319</v>
      </c>
      <c r="D208" s="6" t="s">
        <v>320</v>
      </c>
      <c r="E208" s="6">
        <v>5.0</v>
      </c>
      <c r="F208" s="5"/>
      <c r="G208" s="5"/>
      <c r="H208" s="5"/>
      <c r="I208" s="10"/>
      <c r="J208" s="10"/>
      <c r="K208" s="5"/>
      <c r="L208" s="5"/>
      <c r="M208" s="5"/>
      <c r="N208" s="5"/>
      <c r="O208" s="5"/>
      <c r="P208" s="5"/>
      <c r="Q208" s="6" t="s">
        <v>63</v>
      </c>
      <c r="R208" s="5"/>
      <c r="S208" s="6" t="s">
        <v>321</v>
      </c>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row>
    <row r="209" ht="15.75" customHeight="1">
      <c r="A209" s="6">
        <v>707.0</v>
      </c>
      <c r="B209" s="6" t="s">
        <v>395</v>
      </c>
      <c r="C209" s="6" t="s">
        <v>396</v>
      </c>
      <c r="D209" s="6" t="s">
        <v>770</v>
      </c>
      <c r="E209" s="6">
        <v>4.0</v>
      </c>
      <c r="F209" s="5"/>
      <c r="G209" s="5"/>
      <c r="H209" s="5"/>
      <c r="I209" s="10"/>
      <c r="J209" s="10"/>
      <c r="K209" s="5"/>
      <c r="L209" s="5"/>
      <c r="M209" s="5"/>
      <c r="N209" s="5"/>
      <c r="O209" s="5"/>
      <c r="P209" s="5"/>
      <c r="Q209" s="6" t="s">
        <v>63</v>
      </c>
      <c r="R209" s="5"/>
      <c r="S209" s="6" t="s">
        <v>771</v>
      </c>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row>
    <row r="210" ht="15.75" customHeight="1">
      <c r="A210" s="5"/>
      <c r="B210" s="6" t="s">
        <v>772</v>
      </c>
      <c r="C210" s="6" t="s">
        <v>773</v>
      </c>
      <c r="D210" s="6" t="s">
        <v>774</v>
      </c>
      <c r="E210" s="6">
        <v>4.0</v>
      </c>
      <c r="F210" s="5"/>
      <c r="G210" s="5"/>
      <c r="H210" s="5"/>
      <c r="I210" s="10"/>
      <c r="J210" s="10"/>
      <c r="K210" s="5"/>
      <c r="L210" s="5"/>
      <c r="M210" s="5"/>
      <c r="N210" s="5"/>
      <c r="O210" s="5"/>
      <c r="P210" s="5"/>
      <c r="Q210" s="6" t="s">
        <v>63</v>
      </c>
      <c r="R210" s="5"/>
      <c r="S210" s="6" t="s">
        <v>446</v>
      </c>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row>
    <row r="211" ht="15.75" customHeight="1">
      <c r="A211" s="5"/>
      <c r="B211" s="6" t="s">
        <v>740</v>
      </c>
      <c r="C211" s="6" t="s">
        <v>775</v>
      </c>
      <c r="D211" s="6" t="s">
        <v>776</v>
      </c>
      <c r="E211" s="6">
        <v>5.0</v>
      </c>
      <c r="F211" s="5"/>
      <c r="G211" s="5"/>
      <c r="H211" s="5"/>
      <c r="I211" s="10"/>
      <c r="J211" s="10"/>
      <c r="K211" s="5"/>
      <c r="L211" s="5"/>
      <c r="M211" s="5"/>
      <c r="N211" s="5"/>
      <c r="O211" s="5"/>
      <c r="P211" s="5"/>
      <c r="Q211" s="6" t="s">
        <v>63</v>
      </c>
      <c r="R211" s="5"/>
      <c r="S211" s="6" t="s">
        <v>777</v>
      </c>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row>
    <row r="212" ht="15.75" customHeight="1">
      <c r="A212" s="6">
        <v>698.0</v>
      </c>
      <c r="B212" s="6" t="s">
        <v>778</v>
      </c>
      <c r="C212" s="6" t="s">
        <v>779</v>
      </c>
      <c r="D212" s="5"/>
      <c r="E212" s="6">
        <v>4.0</v>
      </c>
      <c r="F212" s="5"/>
      <c r="G212" s="5"/>
      <c r="H212" s="5"/>
      <c r="I212" s="10"/>
      <c r="J212" s="10"/>
      <c r="K212" s="5"/>
      <c r="L212" s="5"/>
      <c r="M212" s="5"/>
      <c r="N212" s="5"/>
      <c r="O212" s="5"/>
      <c r="P212" s="5"/>
      <c r="Q212" s="6" t="s">
        <v>63</v>
      </c>
      <c r="R212" s="5"/>
      <c r="S212" s="6" t="s">
        <v>780</v>
      </c>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row>
    <row r="213" ht="15.75" customHeight="1">
      <c r="A213" s="5"/>
      <c r="B213" s="6" t="s">
        <v>133</v>
      </c>
      <c r="C213" s="6" t="s">
        <v>566</v>
      </c>
      <c r="D213" s="6" t="s">
        <v>567</v>
      </c>
      <c r="E213" s="6">
        <v>6.0</v>
      </c>
      <c r="F213" s="5"/>
      <c r="G213" s="5"/>
      <c r="H213" s="5"/>
      <c r="I213" s="10"/>
      <c r="J213" s="10"/>
      <c r="K213" s="5"/>
      <c r="L213" s="5"/>
      <c r="M213" s="5"/>
      <c r="N213" s="5"/>
      <c r="O213" s="5"/>
      <c r="P213" s="5"/>
      <c r="Q213" s="6" t="s">
        <v>63</v>
      </c>
      <c r="R213" s="5"/>
      <c r="S213" s="6" t="s">
        <v>568</v>
      </c>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row>
    <row r="214" ht="15.75" customHeight="1">
      <c r="A214" s="6">
        <v>672.0</v>
      </c>
      <c r="B214" s="6" t="s">
        <v>430</v>
      </c>
      <c r="C214" s="6" t="s">
        <v>781</v>
      </c>
      <c r="D214" s="5"/>
      <c r="E214" s="6">
        <v>4.0</v>
      </c>
      <c r="F214" s="5"/>
      <c r="G214" s="5"/>
      <c r="H214" s="5"/>
      <c r="I214" s="10"/>
      <c r="J214" s="10"/>
      <c r="K214" s="5"/>
      <c r="L214" s="5"/>
      <c r="M214" s="5"/>
      <c r="N214" s="5"/>
      <c r="O214" s="5"/>
      <c r="P214" s="5"/>
      <c r="Q214" s="6" t="s">
        <v>171</v>
      </c>
      <c r="R214" s="5"/>
      <c r="S214" s="6" t="s">
        <v>782</v>
      </c>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row>
    <row r="215" ht="15.75" customHeight="1">
      <c r="A215" s="5"/>
      <c r="B215" s="6" t="s">
        <v>783</v>
      </c>
      <c r="C215" s="6" t="s">
        <v>784</v>
      </c>
      <c r="D215" s="6" t="s">
        <v>785</v>
      </c>
      <c r="E215" s="6">
        <v>6.0</v>
      </c>
      <c r="F215" s="6" t="s">
        <v>786</v>
      </c>
      <c r="G215" s="6" t="s">
        <v>786</v>
      </c>
      <c r="H215" s="5"/>
      <c r="I215" s="10"/>
      <c r="J215" s="10"/>
      <c r="K215" s="5"/>
      <c r="L215" s="5"/>
      <c r="M215" s="5"/>
      <c r="N215" s="5"/>
      <c r="O215" s="5"/>
      <c r="P215" s="5"/>
      <c r="Q215" s="6" t="s">
        <v>171</v>
      </c>
      <c r="R215" s="5"/>
      <c r="S215" s="6" t="s">
        <v>683</v>
      </c>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row>
    <row r="216" ht="15.75" customHeight="1">
      <c r="A216" s="5"/>
      <c r="B216" s="6" t="s">
        <v>179</v>
      </c>
      <c r="C216" s="6" t="s">
        <v>775</v>
      </c>
      <c r="D216" s="6" t="s">
        <v>776</v>
      </c>
      <c r="E216" s="6">
        <v>5.0</v>
      </c>
      <c r="F216" s="5"/>
      <c r="G216" s="5"/>
      <c r="H216" s="5"/>
      <c r="I216" s="10"/>
      <c r="J216" s="10"/>
      <c r="K216" s="5"/>
      <c r="L216" s="5"/>
      <c r="M216" s="5"/>
      <c r="N216" s="5"/>
      <c r="O216" s="5"/>
      <c r="P216" s="5"/>
      <c r="Q216" s="6" t="s">
        <v>63</v>
      </c>
      <c r="R216" s="5"/>
      <c r="S216" s="6" t="s">
        <v>777</v>
      </c>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row>
    <row r="217" ht="15.75" customHeight="1">
      <c r="A217" s="6">
        <v>696.0</v>
      </c>
      <c r="B217" s="6" t="s">
        <v>115</v>
      </c>
      <c r="C217" s="6" t="s">
        <v>381</v>
      </c>
      <c r="D217" s="5"/>
      <c r="E217" s="6">
        <v>4.0</v>
      </c>
      <c r="F217" s="5"/>
      <c r="G217" s="5"/>
      <c r="H217" s="5"/>
      <c r="I217" s="10"/>
      <c r="J217" s="10"/>
      <c r="K217" s="5"/>
      <c r="L217" s="5"/>
      <c r="M217" s="5"/>
      <c r="N217" s="5"/>
      <c r="O217" s="5"/>
      <c r="P217" s="5"/>
      <c r="Q217" s="6" t="s">
        <v>63</v>
      </c>
      <c r="R217" s="5"/>
      <c r="S217" s="6" t="s">
        <v>787</v>
      </c>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row>
    <row r="218" ht="15.75" customHeight="1">
      <c r="A218" s="6">
        <v>693.0</v>
      </c>
      <c r="B218" s="6" t="s">
        <v>788</v>
      </c>
      <c r="C218" s="6" t="s">
        <v>789</v>
      </c>
      <c r="D218" s="6" t="s">
        <v>790</v>
      </c>
      <c r="E218" s="6">
        <v>4.0</v>
      </c>
      <c r="F218" s="5"/>
      <c r="G218" s="5"/>
      <c r="H218" s="5"/>
      <c r="I218" s="10"/>
      <c r="J218" s="10"/>
      <c r="K218" s="5"/>
      <c r="L218" s="5"/>
      <c r="M218" s="5"/>
      <c r="N218" s="5"/>
      <c r="O218" s="5"/>
      <c r="P218" s="5"/>
      <c r="Q218" s="6" t="s">
        <v>63</v>
      </c>
      <c r="R218" s="5"/>
      <c r="S218" s="6" t="s">
        <v>791</v>
      </c>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row>
    <row r="219" ht="15.75" customHeight="1">
      <c r="A219" s="5"/>
      <c r="B219" s="6" t="s">
        <v>357</v>
      </c>
      <c r="C219" s="6" t="s">
        <v>792</v>
      </c>
      <c r="D219" s="6" t="s">
        <v>793</v>
      </c>
      <c r="E219" s="6">
        <v>6.0</v>
      </c>
      <c r="F219" s="5"/>
      <c r="G219" s="5"/>
      <c r="H219" s="5"/>
      <c r="I219" s="10"/>
      <c r="J219" s="10"/>
      <c r="K219" s="5"/>
      <c r="L219" s="5"/>
      <c r="M219" s="5"/>
      <c r="N219" s="5"/>
      <c r="O219" s="5"/>
      <c r="P219" s="5"/>
      <c r="Q219" s="6" t="s">
        <v>63</v>
      </c>
      <c r="R219" s="5"/>
      <c r="S219" s="6" t="s">
        <v>716</v>
      </c>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row>
    <row r="220" ht="15.75" customHeight="1">
      <c r="A220" s="5"/>
      <c r="B220" s="6" t="s">
        <v>794</v>
      </c>
      <c r="C220" s="6" t="s">
        <v>795</v>
      </c>
      <c r="D220" s="6" t="s">
        <v>796</v>
      </c>
      <c r="E220" s="6">
        <v>4.0</v>
      </c>
      <c r="F220" s="5"/>
      <c r="G220" s="5"/>
      <c r="H220" s="5"/>
      <c r="I220" s="10"/>
      <c r="J220" s="10"/>
      <c r="K220" s="5"/>
      <c r="L220" s="5"/>
      <c r="M220" s="5"/>
      <c r="N220" s="5"/>
      <c r="O220" s="5"/>
      <c r="P220" s="5"/>
      <c r="Q220" s="6" t="s">
        <v>171</v>
      </c>
      <c r="R220" s="5"/>
      <c r="S220" s="6" t="s">
        <v>797</v>
      </c>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row>
    <row r="221" ht="15.75" customHeight="1">
      <c r="A221" s="6">
        <v>690.0</v>
      </c>
      <c r="B221" s="6" t="s">
        <v>483</v>
      </c>
      <c r="C221" s="6" t="s">
        <v>484</v>
      </c>
      <c r="D221" s="5"/>
      <c r="E221" s="6">
        <v>3.0</v>
      </c>
      <c r="F221" s="5"/>
      <c r="G221" s="5"/>
      <c r="H221" s="5"/>
      <c r="I221" s="10"/>
      <c r="J221" s="10"/>
      <c r="K221" s="5"/>
      <c r="L221" s="5"/>
      <c r="M221" s="5"/>
      <c r="N221" s="5"/>
      <c r="O221" s="5"/>
      <c r="P221" s="5"/>
      <c r="Q221" s="6" t="s">
        <v>63</v>
      </c>
      <c r="R221" s="5"/>
      <c r="S221" s="6" t="s">
        <v>798</v>
      </c>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row>
    <row r="222" ht="15.75" customHeight="1">
      <c r="A222" s="5"/>
      <c r="B222" s="6" t="s">
        <v>799</v>
      </c>
      <c r="C222" s="6" t="s">
        <v>800</v>
      </c>
      <c r="D222" s="6" t="s">
        <v>801</v>
      </c>
      <c r="E222" s="6">
        <v>6.0</v>
      </c>
      <c r="F222" s="5"/>
      <c r="G222" s="5"/>
      <c r="H222" s="5"/>
      <c r="I222" s="10"/>
      <c r="J222" s="10"/>
      <c r="K222" s="5"/>
      <c r="L222" s="5"/>
      <c r="M222" s="5"/>
      <c r="N222" s="5"/>
      <c r="O222" s="5"/>
      <c r="P222" s="5"/>
      <c r="Q222" s="6" t="s">
        <v>63</v>
      </c>
      <c r="R222" s="5"/>
      <c r="S222" s="6" t="s">
        <v>756</v>
      </c>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row>
    <row r="223" ht="15.75" customHeight="1">
      <c r="A223" s="6">
        <v>691.0</v>
      </c>
      <c r="B223" s="6" t="s">
        <v>679</v>
      </c>
      <c r="C223" s="6" t="s">
        <v>282</v>
      </c>
      <c r="D223" s="5"/>
      <c r="E223" s="6">
        <v>4.0</v>
      </c>
      <c r="F223" s="5"/>
      <c r="G223" s="5"/>
      <c r="H223" s="5"/>
      <c r="I223" s="10"/>
      <c r="J223" s="10"/>
      <c r="K223" s="5"/>
      <c r="L223" s="5"/>
      <c r="M223" s="5"/>
      <c r="N223" s="5"/>
      <c r="O223" s="5"/>
      <c r="P223" s="5"/>
      <c r="Q223" s="6" t="s">
        <v>171</v>
      </c>
      <c r="R223" s="5"/>
      <c r="S223" s="6" t="s">
        <v>802</v>
      </c>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row>
    <row r="224" ht="15.75" customHeight="1">
      <c r="A224" s="5"/>
      <c r="B224" s="6" t="s">
        <v>803</v>
      </c>
      <c r="C224" s="6" t="s">
        <v>542</v>
      </c>
      <c r="D224" s="6" t="s">
        <v>804</v>
      </c>
      <c r="E224" s="6">
        <v>7.0</v>
      </c>
      <c r="F224" s="5"/>
      <c r="G224" s="5"/>
      <c r="H224" s="5"/>
      <c r="I224" s="10"/>
      <c r="J224" s="10"/>
      <c r="K224" s="5"/>
      <c r="L224" s="5"/>
      <c r="M224" s="5"/>
      <c r="N224" s="5"/>
      <c r="O224" s="5"/>
      <c r="P224" s="5"/>
      <c r="Q224" s="6" t="s">
        <v>63</v>
      </c>
      <c r="R224" s="5"/>
      <c r="S224" s="6" t="s">
        <v>530</v>
      </c>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row>
    <row r="225" ht="15.75" customHeight="1">
      <c r="A225" s="6">
        <v>687.0</v>
      </c>
      <c r="B225" s="6" t="s">
        <v>133</v>
      </c>
      <c r="C225" s="6" t="s">
        <v>805</v>
      </c>
      <c r="D225" s="5"/>
      <c r="E225" s="6">
        <v>4.0</v>
      </c>
      <c r="F225" s="5"/>
      <c r="G225" s="5"/>
      <c r="H225" s="5"/>
      <c r="I225" s="10"/>
      <c r="J225" s="10"/>
      <c r="K225" s="5"/>
      <c r="L225" s="5"/>
      <c r="M225" s="5"/>
      <c r="N225" s="5"/>
      <c r="O225" s="5"/>
      <c r="P225" s="5"/>
      <c r="Q225" s="6" t="s">
        <v>63</v>
      </c>
      <c r="R225" s="5"/>
      <c r="S225" s="6" t="s">
        <v>806</v>
      </c>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row>
    <row r="226" ht="15.75" customHeight="1">
      <c r="A226" s="5"/>
      <c r="B226" s="6" t="s">
        <v>807</v>
      </c>
      <c r="C226" s="6" t="s">
        <v>268</v>
      </c>
      <c r="D226" s="6" t="s">
        <v>117</v>
      </c>
      <c r="E226" s="6">
        <v>6.0</v>
      </c>
      <c r="F226" s="5"/>
      <c r="G226" s="5"/>
      <c r="H226" s="5"/>
      <c r="I226" s="10"/>
      <c r="J226" s="10"/>
      <c r="K226" s="5"/>
      <c r="L226" s="5"/>
      <c r="M226" s="5"/>
      <c r="N226" s="5"/>
      <c r="O226" s="5"/>
      <c r="P226" s="5"/>
      <c r="Q226" s="6" t="s">
        <v>63</v>
      </c>
      <c r="R226" s="5"/>
      <c r="S226" s="6" t="s">
        <v>360</v>
      </c>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row>
    <row r="227" ht="15.75" customHeight="1">
      <c r="A227" s="5"/>
      <c r="B227" s="6" t="s">
        <v>808</v>
      </c>
      <c r="C227" s="6" t="s">
        <v>809</v>
      </c>
      <c r="D227" s="6" t="s">
        <v>432</v>
      </c>
      <c r="E227" s="6">
        <v>5.0</v>
      </c>
      <c r="F227" s="5"/>
      <c r="G227" s="5"/>
      <c r="H227" s="5"/>
      <c r="I227" s="10"/>
      <c r="J227" s="10"/>
      <c r="K227" s="5"/>
      <c r="L227" s="5"/>
      <c r="M227" s="5"/>
      <c r="N227" s="5"/>
      <c r="O227" s="5"/>
      <c r="P227" s="5"/>
      <c r="Q227" s="6" t="s">
        <v>171</v>
      </c>
      <c r="R227" s="5"/>
      <c r="S227" s="6" t="s">
        <v>810</v>
      </c>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row>
    <row r="228" ht="15.75" customHeight="1">
      <c r="A228" s="6">
        <v>684.0</v>
      </c>
      <c r="B228" s="6" t="s">
        <v>811</v>
      </c>
      <c r="C228" s="6" t="s">
        <v>812</v>
      </c>
      <c r="D228" s="5"/>
      <c r="E228" s="6">
        <v>4.0</v>
      </c>
      <c r="F228" s="5"/>
      <c r="G228" s="5"/>
      <c r="H228" s="5"/>
      <c r="I228" s="10"/>
      <c r="J228" s="10"/>
      <c r="K228" s="5"/>
      <c r="L228" s="5"/>
      <c r="M228" s="5"/>
      <c r="N228" s="5"/>
      <c r="O228" s="5"/>
      <c r="P228" s="5"/>
      <c r="Q228" s="6" t="s">
        <v>63</v>
      </c>
      <c r="R228" s="5"/>
      <c r="S228" s="6" t="s">
        <v>813</v>
      </c>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row>
    <row r="229" ht="15.75" customHeight="1">
      <c r="A229" s="5"/>
      <c r="B229" s="6" t="s">
        <v>734</v>
      </c>
      <c r="C229" s="6" t="s">
        <v>387</v>
      </c>
      <c r="D229" s="6" t="s">
        <v>814</v>
      </c>
      <c r="E229" s="6">
        <v>6.0</v>
      </c>
      <c r="F229" s="5"/>
      <c r="G229" s="5"/>
      <c r="H229" s="5"/>
      <c r="I229" s="10"/>
      <c r="J229" s="10"/>
      <c r="K229" s="5"/>
      <c r="L229" s="5"/>
      <c r="M229" s="5"/>
      <c r="N229" s="5"/>
      <c r="O229" s="5"/>
      <c r="P229" s="5"/>
      <c r="Q229" s="6" t="s">
        <v>63</v>
      </c>
      <c r="R229" s="5"/>
      <c r="S229" s="6" t="s">
        <v>815</v>
      </c>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row>
    <row r="230" ht="15.75" customHeight="1">
      <c r="A230" s="6">
        <v>673.0</v>
      </c>
      <c r="B230" s="6" t="s">
        <v>816</v>
      </c>
      <c r="C230" s="6" t="s">
        <v>817</v>
      </c>
      <c r="D230" s="5"/>
      <c r="E230" s="6">
        <v>4.0</v>
      </c>
      <c r="F230" s="5"/>
      <c r="G230" s="5"/>
      <c r="H230" s="5"/>
      <c r="I230" s="10"/>
      <c r="J230" s="10"/>
      <c r="K230" s="5"/>
      <c r="L230" s="5"/>
      <c r="M230" s="5"/>
      <c r="N230" s="5"/>
      <c r="O230" s="5"/>
      <c r="P230" s="5"/>
      <c r="Q230" s="6" t="s">
        <v>63</v>
      </c>
      <c r="R230" s="5"/>
      <c r="S230" s="6" t="s">
        <v>818</v>
      </c>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row>
    <row r="231" ht="15.75" customHeight="1">
      <c r="A231" s="5"/>
      <c r="B231" s="6" t="s">
        <v>819</v>
      </c>
      <c r="C231" s="6" t="s">
        <v>820</v>
      </c>
      <c r="D231" s="6" t="s">
        <v>821</v>
      </c>
      <c r="E231" s="6">
        <v>5.0</v>
      </c>
      <c r="F231" s="5"/>
      <c r="G231" s="5"/>
      <c r="H231" s="5"/>
      <c r="I231" s="10"/>
      <c r="J231" s="10"/>
      <c r="K231" s="5"/>
      <c r="L231" s="5"/>
      <c r="M231" s="5"/>
      <c r="N231" s="5"/>
      <c r="O231" s="5"/>
      <c r="P231" s="5"/>
      <c r="Q231" s="6" t="s">
        <v>63</v>
      </c>
      <c r="R231" s="5"/>
      <c r="S231" s="6" t="s">
        <v>822</v>
      </c>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row>
    <row r="232" ht="15.75" customHeight="1">
      <c r="A232" s="6">
        <v>675.0</v>
      </c>
      <c r="B232" s="6" t="s">
        <v>386</v>
      </c>
      <c r="C232" s="6" t="s">
        <v>823</v>
      </c>
      <c r="D232" s="5"/>
      <c r="E232" s="6">
        <v>4.0</v>
      </c>
      <c r="F232" s="5"/>
      <c r="G232" s="5"/>
      <c r="H232" s="5"/>
      <c r="I232" s="10"/>
      <c r="J232" s="10"/>
      <c r="K232" s="5"/>
      <c r="L232" s="5"/>
      <c r="M232" s="5"/>
      <c r="N232" s="5"/>
      <c r="O232" s="5"/>
      <c r="P232" s="5"/>
      <c r="Q232" s="6" t="s">
        <v>63</v>
      </c>
      <c r="R232" s="5"/>
      <c r="S232" s="6" t="s">
        <v>824</v>
      </c>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row>
    <row r="233" ht="15.75" customHeight="1">
      <c r="A233" s="6">
        <v>674.0</v>
      </c>
      <c r="B233" s="6" t="s">
        <v>578</v>
      </c>
      <c r="C233" s="6" t="s">
        <v>825</v>
      </c>
      <c r="D233" s="5"/>
      <c r="E233" s="6">
        <v>4.0</v>
      </c>
      <c r="F233" s="5"/>
      <c r="G233" s="5"/>
      <c r="H233" s="5"/>
      <c r="I233" s="10"/>
      <c r="J233" s="10"/>
      <c r="K233" s="5"/>
      <c r="L233" s="5"/>
      <c r="M233" s="5"/>
      <c r="N233" s="5"/>
      <c r="O233" s="5"/>
      <c r="P233" s="5"/>
      <c r="Q233" s="6" t="s">
        <v>63</v>
      </c>
      <c r="R233" s="5"/>
      <c r="S233" s="6" t="s">
        <v>824</v>
      </c>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row>
    <row r="234" ht="15.75" customHeight="1">
      <c r="A234" s="6">
        <v>666.0</v>
      </c>
      <c r="B234" s="6" t="s">
        <v>597</v>
      </c>
      <c r="C234" s="6" t="s">
        <v>826</v>
      </c>
      <c r="D234" s="5"/>
      <c r="E234" s="6">
        <v>4.0</v>
      </c>
      <c r="F234" s="5"/>
      <c r="G234" s="5"/>
      <c r="H234" s="5"/>
      <c r="I234" s="10"/>
      <c r="J234" s="10"/>
      <c r="K234" s="5"/>
      <c r="L234" s="5"/>
      <c r="M234" s="5"/>
      <c r="N234" s="5"/>
      <c r="O234" s="5"/>
      <c r="P234" s="5"/>
      <c r="Q234" s="6" t="s">
        <v>63</v>
      </c>
      <c r="R234" s="5"/>
      <c r="S234" s="6" t="s">
        <v>824</v>
      </c>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row>
    <row r="235" ht="15.75" customHeight="1">
      <c r="A235" s="6">
        <v>658.0</v>
      </c>
      <c r="B235" s="6" t="s">
        <v>610</v>
      </c>
      <c r="C235" s="6" t="s">
        <v>827</v>
      </c>
      <c r="D235" s="5"/>
      <c r="E235" s="6">
        <v>4.0</v>
      </c>
      <c r="F235" s="5"/>
      <c r="G235" s="5"/>
      <c r="H235" s="5"/>
      <c r="I235" s="10"/>
      <c r="J235" s="10"/>
      <c r="K235" s="5"/>
      <c r="L235" s="5"/>
      <c r="M235" s="5"/>
      <c r="N235" s="5"/>
      <c r="O235" s="5"/>
      <c r="P235" s="5"/>
      <c r="Q235" s="6" t="s">
        <v>171</v>
      </c>
      <c r="R235" s="5"/>
      <c r="S235" s="6" t="s">
        <v>828</v>
      </c>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row>
    <row r="236" ht="15.75" customHeight="1">
      <c r="A236" s="6">
        <v>652.0</v>
      </c>
      <c r="B236" s="6" t="s">
        <v>829</v>
      </c>
      <c r="C236" s="6" t="s">
        <v>830</v>
      </c>
      <c r="D236" s="5"/>
      <c r="E236" s="6">
        <v>4.0</v>
      </c>
      <c r="F236" s="5"/>
      <c r="G236" s="5"/>
      <c r="H236" s="5"/>
      <c r="I236" s="10"/>
      <c r="J236" s="10"/>
      <c r="K236" s="5"/>
      <c r="L236" s="5"/>
      <c r="M236" s="5"/>
      <c r="N236" s="5"/>
      <c r="O236" s="5"/>
      <c r="P236" s="5"/>
      <c r="Q236" s="6" t="s">
        <v>63</v>
      </c>
      <c r="R236" s="5"/>
      <c r="S236" s="6" t="s">
        <v>831</v>
      </c>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row>
    <row r="237" ht="15.75" customHeight="1">
      <c r="A237" s="5"/>
      <c r="B237" s="6" t="s">
        <v>832</v>
      </c>
      <c r="C237" s="6" t="s">
        <v>833</v>
      </c>
      <c r="D237" s="6" t="s">
        <v>821</v>
      </c>
      <c r="E237" s="6">
        <v>5.0</v>
      </c>
      <c r="F237" s="5"/>
      <c r="G237" s="5"/>
      <c r="H237" s="5"/>
      <c r="I237" s="10"/>
      <c r="J237" s="10"/>
      <c r="K237" s="5"/>
      <c r="L237" s="5"/>
      <c r="M237" s="5"/>
      <c r="N237" s="5"/>
      <c r="O237" s="5"/>
      <c r="P237" s="5"/>
      <c r="Q237" s="6" t="s">
        <v>63</v>
      </c>
      <c r="R237" s="5"/>
      <c r="S237" s="6" t="s">
        <v>822</v>
      </c>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row>
    <row r="238" ht="15.75" customHeight="1">
      <c r="A238" s="5"/>
      <c r="B238" s="6" t="s">
        <v>581</v>
      </c>
      <c r="C238" s="6" t="s">
        <v>834</v>
      </c>
      <c r="D238" s="6" t="s">
        <v>814</v>
      </c>
      <c r="E238" s="6">
        <v>5.0</v>
      </c>
      <c r="F238" s="5"/>
      <c r="G238" s="5"/>
      <c r="H238" s="5"/>
      <c r="I238" s="10"/>
      <c r="J238" s="10"/>
      <c r="K238" s="5"/>
      <c r="L238" s="5"/>
      <c r="M238" s="5"/>
      <c r="N238" s="5"/>
      <c r="O238" s="5"/>
      <c r="P238" s="5"/>
      <c r="Q238" s="6" t="s">
        <v>171</v>
      </c>
      <c r="R238" s="5"/>
      <c r="S238" s="6" t="s">
        <v>835</v>
      </c>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row>
    <row r="239" ht="15.75" customHeight="1">
      <c r="A239" s="6">
        <v>636.0</v>
      </c>
      <c r="B239" s="6" t="s">
        <v>836</v>
      </c>
      <c r="C239" s="6" t="s">
        <v>837</v>
      </c>
      <c r="D239" s="5"/>
      <c r="E239" s="6">
        <v>4.0</v>
      </c>
      <c r="F239" s="5"/>
      <c r="G239" s="5"/>
      <c r="H239" s="5"/>
      <c r="I239" s="10"/>
      <c r="J239" s="10"/>
      <c r="K239" s="5"/>
      <c r="L239" s="5"/>
      <c r="M239" s="5"/>
      <c r="N239" s="5"/>
      <c r="O239" s="5"/>
      <c r="P239" s="5"/>
      <c r="Q239" s="6" t="s">
        <v>63</v>
      </c>
      <c r="R239" s="5"/>
      <c r="S239" s="6" t="s">
        <v>739</v>
      </c>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row>
    <row r="240" ht="15.75" customHeight="1">
      <c r="A240" s="5"/>
      <c r="B240" s="6" t="s">
        <v>838</v>
      </c>
      <c r="C240" s="6" t="s">
        <v>319</v>
      </c>
      <c r="D240" s="6" t="s">
        <v>839</v>
      </c>
      <c r="E240" s="6">
        <v>6.0</v>
      </c>
      <c r="F240" s="5"/>
      <c r="G240" s="5"/>
      <c r="H240" s="5"/>
      <c r="I240" s="10"/>
      <c r="J240" s="10"/>
      <c r="K240" s="5"/>
      <c r="L240" s="5"/>
      <c r="M240" s="5"/>
      <c r="N240" s="5"/>
      <c r="O240" s="5"/>
      <c r="P240" s="5"/>
      <c r="Q240" s="6" t="s">
        <v>171</v>
      </c>
      <c r="R240" s="5"/>
      <c r="S240" s="6" t="s">
        <v>321</v>
      </c>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row>
    <row r="241" ht="15.75" customHeight="1">
      <c r="A241" s="5"/>
      <c r="B241" s="6" t="s">
        <v>840</v>
      </c>
      <c r="C241" s="6" t="s">
        <v>841</v>
      </c>
      <c r="D241" s="6" t="s">
        <v>481</v>
      </c>
      <c r="E241" s="6">
        <v>5.0</v>
      </c>
      <c r="F241" s="5"/>
      <c r="G241" s="5"/>
      <c r="H241" s="5"/>
      <c r="I241" s="10"/>
      <c r="J241" s="10"/>
      <c r="K241" s="5"/>
      <c r="L241" s="5"/>
      <c r="M241" s="5"/>
      <c r="N241" s="5"/>
      <c r="O241" s="5"/>
      <c r="P241" s="5"/>
      <c r="Q241" s="6" t="s">
        <v>63</v>
      </c>
      <c r="R241" s="5"/>
      <c r="S241" s="6" t="s">
        <v>435</v>
      </c>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row>
    <row r="242" ht="15.75" customHeight="1">
      <c r="A242" s="6">
        <v>635.0</v>
      </c>
      <c r="B242" s="6" t="s">
        <v>740</v>
      </c>
      <c r="C242" s="6" t="s">
        <v>842</v>
      </c>
      <c r="D242" s="5"/>
      <c r="E242" s="6">
        <v>4.0</v>
      </c>
      <c r="F242" s="5"/>
      <c r="G242" s="5"/>
      <c r="H242" s="5"/>
      <c r="I242" s="10"/>
      <c r="J242" s="10"/>
      <c r="K242" s="5"/>
      <c r="L242" s="5"/>
      <c r="M242" s="5"/>
      <c r="N242" s="5"/>
      <c r="O242" s="5"/>
      <c r="P242" s="5"/>
      <c r="Q242" s="6" t="s">
        <v>63</v>
      </c>
      <c r="R242" s="5"/>
      <c r="S242" s="6" t="s">
        <v>739</v>
      </c>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row>
    <row r="243" ht="15.75" customHeight="1">
      <c r="A243" s="6"/>
      <c r="B243" s="6" t="s">
        <v>521</v>
      </c>
      <c r="C243" s="6" t="s">
        <v>677</v>
      </c>
      <c r="D243" s="5"/>
      <c r="E243" s="6">
        <v>4.0</v>
      </c>
      <c r="F243" s="5"/>
      <c r="G243" s="5"/>
      <c r="H243" s="5"/>
      <c r="I243" s="10"/>
      <c r="J243" s="10"/>
      <c r="K243" s="5"/>
      <c r="L243" s="5"/>
      <c r="M243" s="5"/>
      <c r="N243" s="5"/>
      <c r="O243" s="5"/>
      <c r="P243" s="5"/>
      <c r="Q243" s="6" t="s">
        <v>63</v>
      </c>
      <c r="R243" s="5"/>
      <c r="S243" s="6" t="s">
        <v>843</v>
      </c>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row>
    <row r="244" ht="15.75" customHeight="1">
      <c r="A244" s="5"/>
      <c r="B244" s="6" t="s">
        <v>844</v>
      </c>
      <c r="C244" s="6" t="s">
        <v>845</v>
      </c>
      <c r="D244" s="6" t="s">
        <v>846</v>
      </c>
      <c r="E244" s="6">
        <v>5.0</v>
      </c>
      <c r="F244" s="5"/>
      <c r="G244" s="5"/>
      <c r="H244" s="5"/>
      <c r="I244" s="10"/>
      <c r="J244" s="10"/>
      <c r="K244" s="5"/>
      <c r="L244" s="5"/>
      <c r="M244" s="5"/>
      <c r="N244" s="5"/>
      <c r="O244" s="5"/>
      <c r="P244" s="5"/>
      <c r="Q244" s="6" t="s">
        <v>63</v>
      </c>
      <c r="R244" s="5"/>
      <c r="S244" s="6" t="s">
        <v>847</v>
      </c>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row>
    <row r="245" ht="15.75" customHeight="1">
      <c r="A245" s="5"/>
      <c r="B245" s="6" t="s">
        <v>848</v>
      </c>
      <c r="C245" s="6" t="s">
        <v>849</v>
      </c>
      <c r="D245" s="6" t="s">
        <v>693</v>
      </c>
      <c r="E245" s="6">
        <v>3.0</v>
      </c>
      <c r="F245" s="5"/>
      <c r="G245" s="5"/>
      <c r="H245" s="5"/>
      <c r="I245" s="10"/>
      <c r="J245" s="10"/>
      <c r="K245" s="5"/>
      <c r="L245" s="5"/>
      <c r="M245" s="5"/>
      <c r="N245" s="5"/>
      <c r="O245" s="5"/>
      <c r="P245" s="5"/>
      <c r="Q245" s="6" t="s">
        <v>171</v>
      </c>
      <c r="R245" s="5"/>
      <c r="S245" s="6" t="s">
        <v>850</v>
      </c>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row>
    <row r="246" ht="15.75" customHeight="1">
      <c r="A246" s="6">
        <v>622.0</v>
      </c>
      <c r="B246" s="6" t="s">
        <v>851</v>
      </c>
      <c r="C246" s="6" t="s">
        <v>852</v>
      </c>
      <c r="D246" s="5"/>
      <c r="E246" s="6">
        <v>4.0</v>
      </c>
      <c r="F246" s="5"/>
      <c r="G246" s="5"/>
      <c r="H246" s="5"/>
      <c r="I246" s="10"/>
      <c r="J246" s="10"/>
      <c r="K246" s="5"/>
      <c r="L246" s="5"/>
      <c r="M246" s="5"/>
      <c r="N246" s="5"/>
      <c r="O246" s="5"/>
      <c r="P246" s="5"/>
      <c r="Q246" s="6" t="s">
        <v>63</v>
      </c>
      <c r="R246" s="5"/>
      <c r="S246" s="6" t="s">
        <v>240</v>
      </c>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row>
    <row r="247" ht="15.75" customHeight="1">
      <c r="A247" s="5"/>
      <c r="B247" s="6" t="s">
        <v>853</v>
      </c>
      <c r="C247" s="6" t="s">
        <v>854</v>
      </c>
      <c r="D247" s="5"/>
      <c r="E247" s="6">
        <v>4.0</v>
      </c>
      <c r="F247" s="5"/>
      <c r="G247" s="5"/>
      <c r="H247" s="5"/>
      <c r="I247" s="10"/>
      <c r="J247" s="10"/>
      <c r="K247" s="5"/>
      <c r="L247" s="5"/>
      <c r="M247" s="5"/>
      <c r="N247" s="5"/>
      <c r="O247" s="5"/>
      <c r="P247" s="5"/>
      <c r="Q247" s="6" t="s">
        <v>63</v>
      </c>
      <c r="R247" s="5"/>
      <c r="S247" s="6" t="s">
        <v>855</v>
      </c>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row>
    <row r="248" ht="15.75" customHeight="1">
      <c r="A248" s="5"/>
      <c r="B248" s="6" t="s">
        <v>856</v>
      </c>
      <c r="C248" s="6" t="s">
        <v>857</v>
      </c>
      <c r="D248" s="6" t="s">
        <v>445</v>
      </c>
      <c r="E248" s="6">
        <v>5.0</v>
      </c>
      <c r="F248" s="5"/>
      <c r="G248" s="5"/>
      <c r="H248" s="5"/>
      <c r="I248" s="10"/>
      <c r="J248" s="10"/>
      <c r="K248" s="5"/>
      <c r="L248" s="5"/>
      <c r="M248" s="5"/>
      <c r="N248" s="5"/>
      <c r="O248" s="5"/>
      <c r="P248" s="5"/>
      <c r="Q248" s="6" t="s">
        <v>171</v>
      </c>
      <c r="R248" s="5"/>
      <c r="S248" s="6" t="s">
        <v>858</v>
      </c>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row>
    <row r="249" ht="15.75" customHeight="1">
      <c r="A249" s="5"/>
      <c r="B249" s="6" t="s">
        <v>859</v>
      </c>
      <c r="C249" s="6" t="s">
        <v>601</v>
      </c>
      <c r="D249" s="6" t="s">
        <v>187</v>
      </c>
      <c r="E249" s="6">
        <v>4.0</v>
      </c>
      <c r="F249" s="5"/>
      <c r="G249" s="5"/>
      <c r="H249" s="5"/>
      <c r="I249" s="10"/>
      <c r="J249" s="10"/>
      <c r="K249" s="5"/>
      <c r="L249" s="5"/>
      <c r="M249" s="5"/>
      <c r="N249" s="5"/>
      <c r="O249" s="5"/>
      <c r="P249" s="5"/>
      <c r="Q249" s="6" t="s">
        <v>63</v>
      </c>
      <c r="R249" s="5"/>
      <c r="S249" s="6" t="s">
        <v>855</v>
      </c>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row>
    <row r="250" ht="15.75" customHeight="1">
      <c r="A250" s="6">
        <v>609.0</v>
      </c>
      <c r="B250" s="6" t="s">
        <v>860</v>
      </c>
      <c r="C250" s="6" t="s">
        <v>466</v>
      </c>
      <c r="D250" s="5"/>
      <c r="E250" s="6">
        <v>4.0</v>
      </c>
      <c r="F250" s="5"/>
      <c r="G250" s="5"/>
      <c r="H250" s="5"/>
      <c r="I250" s="10"/>
      <c r="J250" s="10"/>
      <c r="K250" s="5"/>
      <c r="L250" s="5"/>
      <c r="M250" s="5"/>
      <c r="N250" s="5"/>
      <c r="O250" s="5"/>
      <c r="P250" s="5"/>
      <c r="Q250" s="6" t="s">
        <v>63</v>
      </c>
      <c r="R250" s="5"/>
      <c r="S250" s="6" t="s">
        <v>150</v>
      </c>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row>
    <row r="251" ht="15.75" customHeight="1">
      <c r="A251" s="5"/>
      <c r="B251" s="6" t="s">
        <v>861</v>
      </c>
      <c r="C251" s="6" t="s">
        <v>857</v>
      </c>
      <c r="D251" s="6" t="s">
        <v>445</v>
      </c>
      <c r="E251" s="6">
        <v>5.0</v>
      </c>
      <c r="F251" s="5"/>
      <c r="G251" s="5"/>
      <c r="H251" s="5"/>
      <c r="I251" s="10"/>
      <c r="J251" s="10"/>
      <c r="K251" s="5"/>
      <c r="L251" s="5"/>
      <c r="M251" s="5"/>
      <c r="N251" s="5"/>
      <c r="O251" s="5"/>
      <c r="P251" s="5"/>
      <c r="Q251" s="6" t="s">
        <v>63</v>
      </c>
      <c r="R251" s="5"/>
      <c r="S251" s="6" t="s">
        <v>858</v>
      </c>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row>
    <row r="252" ht="15.75" customHeight="1">
      <c r="A252" s="5"/>
      <c r="B252" s="6" t="s">
        <v>862</v>
      </c>
      <c r="C252" s="6" t="s">
        <v>863</v>
      </c>
      <c r="D252" s="6" t="s">
        <v>864</v>
      </c>
      <c r="E252" s="6">
        <v>4.0</v>
      </c>
      <c r="F252" s="5"/>
      <c r="G252" s="5"/>
      <c r="H252" s="5"/>
      <c r="I252" s="10"/>
      <c r="J252" s="10"/>
      <c r="K252" s="5"/>
      <c r="L252" s="5"/>
      <c r="M252" s="5"/>
      <c r="N252" s="5"/>
      <c r="O252" s="5"/>
      <c r="P252" s="5"/>
      <c r="Q252" s="6" t="s">
        <v>63</v>
      </c>
      <c r="R252" s="5"/>
      <c r="S252" s="6" t="s">
        <v>865</v>
      </c>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row>
    <row r="253" ht="15.75" customHeight="1">
      <c r="A253" s="5"/>
      <c r="B253" s="6" t="s">
        <v>866</v>
      </c>
      <c r="C253" s="6" t="s">
        <v>636</v>
      </c>
      <c r="D253" s="6" t="s">
        <v>637</v>
      </c>
      <c r="E253" s="6">
        <v>5.0</v>
      </c>
      <c r="F253" s="5"/>
      <c r="G253" s="5"/>
      <c r="H253" s="5"/>
      <c r="I253" s="10"/>
      <c r="J253" s="10"/>
      <c r="K253" s="5"/>
      <c r="L253" s="5"/>
      <c r="M253" s="5"/>
      <c r="N253" s="5"/>
      <c r="O253" s="5"/>
      <c r="P253" s="5"/>
      <c r="Q253" s="6" t="s">
        <v>171</v>
      </c>
      <c r="R253" s="5"/>
      <c r="S253" s="6" t="s">
        <v>867</v>
      </c>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row>
    <row r="254" ht="15.75" customHeight="1">
      <c r="A254" s="5"/>
      <c r="B254" s="6" t="s">
        <v>868</v>
      </c>
      <c r="C254" s="6" t="s">
        <v>869</v>
      </c>
      <c r="D254" s="6" t="s">
        <v>870</v>
      </c>
      <c r="E254" s="6">
        <v>5.0</v>
      </c>
      <c r="F254" s="5"/>
      <c r="G254" s="5"/>
      <c r="H254" s="5"/>
      <c r="I254" s="10"/>
      <c r="J254" s="10"/>
      <c r="K254" s="5"/>
      <c r="L254" s="5"/>
      <c r="M254" s="5"/>
      <c r="N254" s="5"/>
      <c r="O254" s="5"/>
      <c r="P254" s="5"/>
      <c r="Q254" s="6" t="s">
        <v>63</v>
      </c>
      <c r="R254" s="5"/>
      <c r="S254" s="6" t="s">
        <v>871</v>
      </c>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row>
    <row r="255" ht="15.75" customHeight="1">
      <c r="A255" s="5"/>
      <c r="B255" s="6" t="s">
        <v>725</v>
      </c>
      <c r="C255" s="6" t="s">
        <v>872</v>
      </c>
      <c r="D255" s="5"/>
      <c r="E255" s="6">
        <v>5.0</v>
      </c>
      <c r="F255" s="5"/>
      <c r="G255" s="5"/>
      <c r="H255" s="5"/>
      <c r="I255" s="10"/>
      <c r="J255" s="10"/>
      <c r="K255" s="5"/>
      <c r="L255" s="5"/>
      <c r="M255" s="5"/>
      <c r="N255" s="5"/>
      <c r="O255" s="5"/>
      <c r="P255" s="5"/>
      <c r="Q255" s="6" t="s">
        <v>63</v>
      </c>
      <c r="R255" s="5"/>
      <c r="S255" s="6" t="s">
        <v>873</v>
      </c>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row>
    <row r="256" ht="15.75" customHeight="1">
      <c r="A256" s="5"/>
      <c r="B256" s="6" t="s">
        <v>874</v>
      </c>
      <c r="C256" s="6" t="s">
        <v>726</v>
      </c>
      <c r="D256" s="6" t="s">
        <v>727</v>
      </c>
      <c r="E256" s="6">
        <v>5.0</v>
      </c>
      <c r="F256" s="5"/>
      <c r="G256" s="5"/>
      <c r="H256" s="5"/>
      <c r="I256" s="10"/>
      <c r="J256" s="10"/>
      <c r="K256" s="5"/>
      <c r="L256" s="5"/>
      <c r="M256" s="5"/>
      <c r="N256" s="5"/>
      <c r="O256" s="5"/>
      <c r="P256" s="5"/>
      <c r="Q256" s="6" t="s">
        <v>63</v>
      </c>
      <c r="R256" s="5"/>
      <c r="S256" s="6" t="s">
        <v>822</v>
      </c>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row>
    <row r="257" ht="15.75" customHeight="1">
      <c r="A257" s="5"/>
      <c r="B257" s="6" t="s">
        <v>132</v>
      </c>
      <c r="C257" s="6" t="s">
        <v>133</v>
      </c>
      <c r="D257" s="6" t="s">
        <v>875</v>
      </c>
      <c r="E257" s="6">
        <v>7.0</v>
      </c>
      <c r="F257" s="5"/>
      <c r="G257" s="5"/>
      <c r="H257" s="5"/>
      <c r="I257" s="10"/>
      <c r="J257" s="10"/>
      <c r="K257" s="5"/>
      <c r="L257" s="5"/>
      <c r="M257" s="5"/>
      <c r="N257" s="5"/>
      <c r="O257" s="5"/>
      <c r="P257" s="5"/>
      <c r="Q257" s="6" t="s">
        <v>63</v>
      </c>
      <c r="R257" s="5"/>
      <c r="S257" s="6" t="s">
        <v>876</v>
      </c>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row>
    <row r="258" ht="15.75" customHeight="1">
      <c r="A258" s="6">
        <v>735.0</v>
      </c>
      <c r="B258" s="6" t="s">
        <v>877</v>
      </c>
      <c r="C258" s="6" t="s">
        <v>878</v>
      </c>
      <c r="D258" s="5"/>
      <c r="E258" s="6">
        <v>5.0</v>
      </c>
      <c r="F258" s="5"/>
      <c r="G258" s="5"/>
      <c r="H258" s="5"/>
      <c r="I258" s="10"/>
      <c r="J258" s="10"/>
      <c r="K258" s="5"/>
      <c r="L258" s="5"/>
      <c r="M258" s="5"/>
      <c r="N258" s="5"/>
      <c r="O258" s="5"/>
      <c r="P258" s="5"/>
      <c r="Q258" s="6" t="s">
        <v>63</v>
      </c>
      <c r="R258" s="5"/>
      <c r="S258" s="6" t="s">
        <v>879</v>
      </c>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row>
    <row r="259" ht="15.75" customHeight="1">
      <c r="A259" s="5"/>
      <c r="B259" s="6"/>
      <c r="C259" s="6"/>
      <c r="D259" s="5"/>
      <c r="E259" s="5"/>
      <c r="F259" s="5"/>
      <c r="G259" s="5"/>
      <c r="H259" s="5"/>
      <c r="I259" s="10"/>
      <c r="J259" s="10"/>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row>
    <row r="260" ht="15.75" customHeight="1">
      <c r="A260" s="5"/>
      <c r="B260" s="6" t="s">
        <v>133</v>
      </c>
      <c r="C260" s="6" t="s">
        <v>132</v>
      </c>
      <c r="D260" s="6" t="s">
        <v>485</v>
      </c>
      <c r="E260" s="6">
        <v>5.0</v>
      </c>
      <c r="F260" s="5"/>
      <c r="G260" s="5"/>
      <c r="H260" s="5"/>
      <c r="I260" s="10"/>
      <c r="J260" s="10"/>
      <c r="K260" s="5"/>
      <c r="L260" s="5"/>
      <c r="M260" s="5"/>
      <c r="N260" s="5"/>
      <c r="O260" s="5"/>
      <c r="P260" s="5"/>
      <c r="Q260" s="6" t="s">
        <v>63</v>
      </c>
      <c r="R260" s="5"/>
      <c r="S260" s="6" t="s">
        <v>880</v>
      </c>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row>
    <row r="261" ht="15.75" customHeight="1">
      <c r="A261" s="5"/>
      <c r="B261" s="6" t="s">
        <v>881</v>
      </c>
      <c r="C261" s="6" t="s">
        <v>179</v>
      </c>
      <c r="D261" s="6" t="s">
        <v>882</v>
      </c>
      <c r="E261" s="6">
        <v>3.0</v>
      </c>
      <c r="F261" s="5"/>
      <c r="G261" s="5"/>
      <c r="H261" s="5"/>
      <c r="I261" s="10"/>
      <c r="J261" s="10"/>
      <c r="K261" s="5"/>
      <c r="L261" s="5"/>
      <c r="M261" s="5"/>
      <c r="N261" s="5"/>
      <c r="O261" s="5"/>
      <c r="P261" s="5"/>
      <c r="Q261" s="6" t="s">
        <v>63</v>
      </c>
      <c r="R261" s="5"/>
      <c r="S261" s="6" t="s">
        <v>867</v>
      </c>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row>
    <row r="262" ht="15.75" customHeight="1">
      <c r="A262" s="6">
        <v>676.0</v>
      </c>
      <c r="B262" s="6" t="s">
        <v>840</v>
      </c>
      <c r="C262" s="6" t="s">
        <v>883</v>
      </c>
      <c r="D262" s="5"/>
      <c r="E262" s="6">
        <v>5.0</v>
      </c>
      <c r="F262" s="5"/>
      <c r="G262" s="5"/>
      <c r="H262" s="5"/>
      <c r="I262" s="10"/>
      <c r="J262" s="10"/>
      <c r="K262" s="5"/>
      <c r="L262" s="5"/>
      <c r="M262" s="5"/>
      <c r="N262" s="5"/>
      <c r="O262" s="5"/>
      <c r="P262" s="5"/>
      <c r="Q262" s="6" t="s">
        <v>63</v>
      </c>
      <c r="R262" s="5"/>
      <c r="S262" s="6" t="s">
        <v>884</v>
      </c>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row>
    <row r="263" ht="15.75" customHeight="1">
      <c r="A263" s="5"/>
      <c r="B263" s="6" t="s">
        <v>357</v>
      </c>
      <c r="C263" s="6" t="s">
        <v>885</v>
      </c>
      <c r="D263" s="6" t="s">
        <v>886</v>
      </c>
      <c r="E263" s="6">
        <v>5.0</v>
      </c>
      <c r="F263" s="5"/>
      <c r="G263" s="5"/>
      <c r="H263" s="5"/>
      <c r="I263" s="10"/>
      <c r="J263" s="10"/>
      <c r="K263" s="5"/>
      <c r="L263" s="5"/>
      <c r="M263" s="5"/>
      <c r="N263" s="5"/>
      <c r="O263" s="5"/>
      <c r="P263" s="5"/>
      <c r="Q263" s="6" t="s">
        <v>63</v>
      </c>
      <c r="R263" s="5"/>
      <c r="S263" s="6" t="s">
        <v>887</v>
      </c>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row>
    <row r="264" ht="15.75" customHeight="1">
      <c r="A264" s="6"/>
      <c r="B264" s="6" t="s">
        <v>877</v>
      </c>
      <c r="C264" s="6" t="s">
        <v>878</v>
      </c>
      <c r="D264" s="6" t="s">
        <v>888</v>
      </c>
      <c r="E264" s="6">
        <v>5.0</v>
      </c>
      <c r="F264" s="5"/>
      <c r="G264" s="5"/>
      <c r="H264" s="5"/>
      <c r="I264" s="10"/>
      <c r="J264" s="10"/>
      <c r="K264" s="5"/>
      <c r="L264" s="5"/>
      <c r="M264" s="5"/>
      <c r="N264" s="5"/>
      <c r="O264" s="5"/>
      <c r="P264" s="5"/>
      <c r="Q264" s="6" t="s">
        <v>63</v>
      </c>
      <c r="R264" s="5"/>
      <c r="S264" s="6" t="s">
        <v>889</v>
      </c>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row>
    <row r="265" ht="15.75" customHeight="1">
      <c r="A265" s="6">
        <v>649.0</v>
      </c>
      <c r="B265" s="6" t="s">
        <v>890</v>
      </c>
      <c r="C265" s="6" t="s">
        <v>891</v>
      </c>
      <c r="D265" s="5"/>
      <c r="E265" s="6">
        <v>5.0</v>
      </c>
      <c r="F265" s="5"/>
      <c r="G265" s="5"/>
      <c r="H265" s="5"/>
      <c r="I265" s="10"/>
      <c r="J265" s="10"/>
      <c r="K265" s="5"/>
      <c r="L265" s="5"/>
      <c r="M265" s="5"/>
      <c r="N265" s="5"/>
      <c r="O265" s="5"/>
      <c r="P265" s="5"/>
      <c r="Q265" s="6" t="s">
        <v>63</v>
      </c>
      <c r="R265" s="5"/>
      <c r="S265" s="6" t="s">
        <v>892</v>
      </c>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row>
    <row r="266" ht="15.75" customHeight="1">
      <c r="A266" s="5"/>
      <c r="B266" s="6" t="s">
        <v>318</v>
      </c>
      <c r="C266" s="6" t="s">
        <v>553</v>
      </c>
      <c r="D266" s="6" t="s">
        <v>761</v>
      </c>
      <c r="E266" s="6">
        <v>3.0</v>
      </c>
      <c r="F266" s="5"/>
      <c r="G266" s="5"/>
      <c r="H266" s="5"/>
      <c r="I266" s="10"/>
      <c r="J266" s="10"/>
      <c r="K266" s="5"/>
      <c r="L266" s="5"/>
      <c r="M266" s="5"/>
      <c r="N266" s="5"/>
      <c r="O266" s="5"/>
      <c r="P266" s="5"/>
      <c r="Q266" s="6" t="s">
        <v>63</v>
      </c>
      <c r="R266" s="5"/>
      <c r="S266" s="6" t="s">
        <v>446</v>
      </c>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row>
    <row r="267" ht="15.75" customHeight="1">
      <c r="A267" s="5"/>
      <c r="B267" s="6" t="s">
        <v>893</v>
      </c>
      <c r="C267" s="6" t="s">
        <v>833</v>
      </c>
      <c r="D267" s="6" t="s">
        <v>763</v>
      </c>
      <c r="E267" s="6">
        <v>5.0</v>
      </c>
      <c r="F267" s="5"/>
      <c r="G267" s="5"/>
      <c r="H267" s="5"/>
      <c r="I267" s="10"/>
      <c r="J267" s="10"/>
      <c r="K267" s="5"/>
      <c r="L267" s="5"/>
      <c r="M267" s="5"/>
      <c r="N267" s="5"/>
      <c r="O267" s="5"/>
      <c r="P267" s="5"/>
      <c r="Q267" s="6" t="s">
        <v>63</v>
      </c>
      <c r="R267" s="5"/>
      <c r="S267" s="6" t="s">
        <v>894</v>
      </c>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row>
    <row r="268" ht="15.75" customHeight="1">
      <c r="A268" s="6">
        <v>650.0</v>
      </c>
      <c r="B268" s="6" t="s">
        <v>331</v>
      </c>
      <c r="C268" s="6" t="s">
        <v>891</v>
      </c>
      <c r="D268" s="5"/>
      <c r="E268" s="6">
        <v>3.0</v>
      </c>
      <c r="F268" s="5"/>
      <c r="G268" s="5"/>
      <c r="H268" s="5"/>
      <c r="I268" s="10"/>
      <c r="J268" s="10"/>
      <c r="K268" s="5"/>
      <c r="L268" s="5"/>
      <c r="M268" s="5"/>
      <c r="N268" s="5"/>
      <c r="O268" s="5"/>
      <c r="P268" s="5"/>
      <c r="Q268" s="6" t="s">
        <v>171</v>
      </c>
      <c r="R268" s="5"/>
      <c r="S268" s="6" t="s">
        <v>892</v>
      </c>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row>
    <row r="269" ht="15.75" customHeight="1">
      <c r="A269" s="5"/>
      <c r="B269" s="6" t="s">
        <v>725</v>
      </c>
      <c r="C269" s="6" t="s">
        <v>86</v>
      </c>
      <c r="D269" s="6" t="s">
        <v>895</v>
      </c>
      <c r="E269" s="6">
        <v>5.0</v>
      </c>
      <c r="F269" s="5"/>
      <c r="G269" s="5"/>
      <c r="H269" s="5"/>
      <c r="I269" s="10"/>
      <c r="J269" s="10"/>
      <c r="K269" s="5"/>
      <c r="L269" s="5"/>
      <c r="M269" s="5"/>
      <c r="N269" s="5"/>
      <c r="O269" s="5"/>
      <c r="P269" s="5"/>
      <c r="Q269" s="6" t="s">
        <v>63</v>
      </c>
      <c r="R269" s="5"/>
      <c r="S269" s="6" t="s">
        <v>896</v>
      </c>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row>
    <row r="270" ht="15.75" customHeight="1">
      <c r="A270" s="6">
        <v>643.0</v>
      </c>
      <c r="B270" s="6" t="s">
        <v>897</v>
      </c>
      <c r="C270" s="6" t="s">
        <v>898</v>
      </c>
      <c r="D270" s="5"/>
      <c r="E270" s="6">
        <v>5.0</v>
      </c>
      <c r="F270" s="5"/>
      <c r="G270" s="5"/>
      <c r="H270" s="5"/>
      <c r="I270" s="10"/>
      <c r="J270" s="10"/>
      <c r="K270" s="5"/>
      <c r="L270" s="5"/>
      <c r="M270" s="5"/>
      <c r="N270" s="5"/>
      <c r="O270" s="5"/>
      <c r="P270" s="5"/>
      <c r="Q270" s="6" t="s">
        <v>63</v>
      </c>
      <c r="R270" s="5"/>
      <c r="S270" s="6" t="s">
        <v>858</v>
      </c>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row>
    <row r="271" ht="15.75" customHeight="1">
      <c r="A271" s="6">
        <v>644.0</v>
      </c>
      <c r="B271" s="6" t="s">
        <v>899</v>
      </c>
      <c r="C271" s="6" t="s">
        <v>898</v>
      </c>
      <c r="D271" s="5"/>
      <c r="E271" s="6">
        <v>5.0</v>
      </c>
      <c r="F271" s="5"/>
      <c r="G271" s="5"/>
      <c r="H271" s="5"/>
      <c r="I271" s="10"/>
      <c r="J271" s="10"/>
      <c r="K271" s="5"/>
      <c r="L271" s="5"/>
      <c r="M271" s="5"/>
      <c r="N271" s="5"/>
      <c r="O271" s="5"/>
      <c r="P271" s="5"/>
      <c r="Q271" s="6" t="s">
        <v>63</v>
      </c>
      <c r="R271" s="5"/>
      <c r="S271" s="6" t="s">
        <v>858</v>
      </c>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row>
    <row r="272" ht="15.75" customHeight="1">
      <c r="A272" s="6">
        <v>360.0</v>
      </c>
      <c r="B272" s="6" t="s">
        <v>900</v>
      </c>
      <c r="C272" s="6" t="s">
        <v>601</v>
      </c>
      <c r="D272" s="5"/>
      <c r="E272" s="6">
        <v>2.0</v>
      </c>
      <c r="F272" s="5"/>
      <c r="G272" s="5"/>
      <c r="H272" s="5"/>
      <c r="I272" s="10"/>
      <c r="J272" s="10"/>
      <c r="K272" s="5"/>
      <c r="L272" s="5"/>
      <c r="M272" s="5"/>
      <c r="N272" s="5"/>
      <c r="O272" s="5"/>
      <c r="P272" s="5"/>
      <c r="Q272" s="6" t="s">
        <v>63</v>
      </c>
      <c r="R272" s="5"/>
      <c r="S272" s="6" t="s">
        <v>901</v>
      </c>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row>
    <row r="273" ht="15.75" customHeight="1">
      <c r="A273" s="5"/>
      <c r="B273" s="6" t="s">
        <v>902</v>
      </c>
      <c r="C273" s="6" t="s">
        <v>903</v>
      </c>
      <c r="D273" s="6" t="s">
        <v>719</v>
      </c>
      <c r="E273" s="6">
        <v>5.0</v>
      </c>
      <c r="F273" s="5"/>
      <c r="G273" s="5"/>
      <c r="H273" s="5"/>
      <c r="I273" s="10"/>
      <c r="J273" s="10"/>
      <c r="K273" s="5"/>
      <c r="L273" s="5"/>
      <c r="M273" s="5"/>
      <c r="N273" s="5"/>
      <c r="O273" s="5"/>
      <c r="P273" s="5"/>
      <c r="Q273" s="6" t="s">
        <v>63</v>
      </c>
      <c r="R273" s="5"/>
      <c r="S273" s="6" t="s">
        <v>904</v>
      </c>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row>
    <row r="274" ht="15.75" customHeight="1">
      <c r="A274" s="6">
        <v>661.0</v>
      </c>
      <c r="B274" s="6" t="s">
        <v>905</v>
      </c>
      <c r="C274" s="6" t="s">
        <v>601</v>
      </c>
      <c r="D274" s="5"/>
      <c r="E274" s="6">
        <v>4.0</v>
      </c>
      <c r="F274" s="5"/>
      <c r="G274" s="5"/>
      <c r="H274" s="5"/>
      <c r="I274" s="10"/>
      <c r="J274" s="10"/>
      <c r="K274" s="5"/>
      <c r="L274" s="5"/>
      <c r="M274" s="5"/>
      <c r="N274" s="5"/>
      <c r="O274" s="5"/>
      <c r="P274" s="5"/>
      <c r="Q274" s="6" t="s">
        <v>63</v>
      </c>
      <c r="R274" s="5"/>
      <c r="S274" s="6" t="s">
        <v>906</v>
      </c>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row>
    <row r="275" ht="15.75" customHeight="1">
      <c r="A275" s="5"/>
      <c r="B275" s="6" t="s">
        <v>907</v>
      </c>
      <c r="C275" s="6" t="s">
        <v>908</v>
      </c>
      <c r="D275" s="6" t="s">
        <v>909</v>
      </c>
      <c r="E275" s="6">
        <v>5.0</v>
      </c>
      <c r="F275" s="5"/>
      <c r="G275" s="5"/>
      <c r="H275" s="5"/>
      <c r="I275" s="10"/>
      <c r="J275" s="10"/>
      <c r="K275" s="5"/>
      <c r="L275" s="5"/>
      <c r="M275" s="5"/>
      <c r="N275" s="5"/>
      <c r="O275" s="5"/>
      <c r="P275" s="5"/>
      <c r="Q275" s="6" t="s">
        <v>63</v>
      </c>
      <c r="R275" s="5"/>
      <c r="S275" s="6" t="s">
        <v>756</v>
      </c>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row>
    <row r="276" ht="15.75" customHeight="1">
      <c r="A276" s="6">
        <v>627.0</v>
      </c>
      <c r="B276" s="6" t="s">
        <v>910</v>
      </c>
      <c r="C276" s="6" t="s">
        <v>863</v>
      </c>
      <c r="D276" s="5"/>
      <c r="E276" s="6">
        <v>5.0</v>
      </c>
      <c r="F276" s="5"/>
      <c r="G276" s="5"/>
      <c r="H276" s="5"/>
      <c r="I276" s="10"/>
      <c r="J276" s="10"/>
      <c r="K276" s="5"/>
      <c r="L276" s="5"/>
      <c r="M276" s="5"/>
      <c r="N276" s="5"/>
      <c r="O276" s="5"/>
      <c r="P276" s="5"/>
      <c r="Q276" s="6" t="s">
        <v>63</v>
      </c>
      <c r="R276" s="5"/>
      <c r="S276" s="6" t="s">
        <v>911</v>
      </c>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row>
    <row r="277" ht="15.75" customHeight="1">
      <c r="A277" s="6">
        <v>628.0</v>
      </c>
      <c r="B277" s="6" t="s">
        <v>912</v>
      </c>
      <c r="C277" s="6" t="s">
        <v>913</v>
      </c>
      <c r="D277" s="5"/>
      <c r="E277" s="6">
        <v>5.0</v>
      </c>
      <c r="F277" s="5"/>
      <c r="G277" s="5"/>
      <c r="H277" s="5"/>
      <c r="I277" s="10"/>
      <c r="J277" s="10"/>
      <c r="K277" s="5"/>
      <c r="L277" s="5"/>
      <c r="M277" s="5"/>
      <c r="N277" s="5"/>
      <c r="O277" s="5"/>
      <c r="P277" s="5"/>
      <c r="Q277" s="6" t="s">
        <v>63</v>
      </c>
      <c r="R277" s="5"/>
      <c r="S277" s="6" t="s">
        <v>914</v>
      </c>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row>
    <row r="278" ht="15.75" customHeight="1">
      <c r="A278" s="5"/>
      <c r="B278" s="5"/>
      <c r="C278" s="5"/>
      <c r="D278" s="5"/>
      <c r="E278" s="5"/>
      <c r="F278" s="5"/>
      <c r="G278" s="5"/>
      <c r="H278" s="5"/>
      <c r="I278" s="10"/>
      <c r="J278" s="10"/>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row>
    <row r="279" ht="15.75" customHeight="1">
      <c r="A279" s="6">
        <v>612.0</v>
      </c>
      <c r="B279" s="6" t="s">
        <v>725</v>
      </c>
      <c r="C279" s="6" t="s">
        <v>915</v>
      </c>
      <c r="D279" s="6" t="s">
        <v>216</v>
      </c>
      <c r="E279" s="6">
        <v>4.0</v>
      </c>
      <c r="F279" s="5"/>
      <c r="G279" s="5"/>
      <c r="H279" s="5"/>
      <c r="I279" s="10"/>
      <c r="J279" s="10"/>
      <c r="K279" s="5"/>
      <c r="L279" s="5"/>
      <c r="M279" s="5"/>
      <c r="N279" s="5"/>
      <c r="O279" s="5"/>
      <c r="P279" s="5"/>
      <c r="Q279" s="6" t="s">
        <v>63</v>
      </c>
      <c r="R279" s="5"/>
      <c r="S279" s="6" t="s">
        <v>150</v>
      </c>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row>
    <row r="280" ht="15.75" customHeight="1">
      <c r="A280" s="6">
        <v>613.0</v>
      </c>
      <c r="B280" s="6" t="s">
        <v>916</v>
      </c>
      <c r="C280" s="6" t="s">
        <v>915</v>
      </c>
      <c r="D280" s="6" t="s">
        <v>216</v>
      </c>
      <c r="E280" s="6">
        <v>5.0</v>
      </c>
      <c r="F280" s="5"/>
      <c r="G280" s="5"/>
      <c r="H280" s="5"/>
      <c r="I280" s="10"/>
      <c r="J280" s="10"/>
      <c r="K280" s="5"/>
      <c r="L280" s="5"/>
      <c r="M280" s="5"/>
      <c r="N280" s="5"/>
      <c r="O280" s="5"/>
      <c r="P280" s="5"/>
      <c r="Q280" s="6" t="s">
        <v>63</v>
      </c>
      <c r="R280" s="5"/>
      <c r="S280" s="6" t="s">
        <v>150</v>
      </c>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row>
    <row r="281" ht="15.75" customHeight="1">
      <c r="A281" s="6">
        <v>689.0</v>
      </c>
      <c r="B281" s="6" t="s">
        <v>192</v>
      </c>
      <c r="C281" s="6" t="s">
        <v>410</v>
      </c>
      <c r="D281" s="5"/>
      <c r="E281" s="6">
        <v>5.0</v>
      </c>
      <c r="F281" s="5"/>
      <c r="G281" s="5"/>
      <c r="H281" s="5"/>
      <c r="I281" s="10"/>
      <c r="J281" s="10"/>
      <c r="K281" s="5"/>
      <c r="L281" s="5"/>
      <c r="M281" s="5"/>
      <c r="N281" s="5"/>
      <c r="O281" s="5"/>
      <c r="P281" s="5"/>
      <c r="Q281" s="6" t="s">
        <v>63</v>
      </c>
      <c r="R281" s="5"/>
      <c r="S281" s="6" t="s">
        <v>917</v>
      </c>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row>
    <row r="282" ht="15.75" customHeight="1">
      <c r="A282" s="6">
        <v>692.0</v>
      </c>
      <c r="B282" s="6" t="s">
        <v>252</v>
      </c>
      <c r="C282" s="6" t="s">
        <v>918</v>
      </c>
      <c r="D282" s="5"/>
      <c r="E282" s="6">
        <v>5.0</v>
      </c>
      <c r="F282" s="5"/>
      <c r="G282" s="5"/>
      <c r="H282" s="5"/>
      <c r="I282" s="10"/>
      <c r="J282" s="10"/>
      <c r="K282" s="5"/>
      <c r="L282" s="5"/>
      <c r="M282" s="5"/>
      <c r="N282" s="5"/>
      <c r="O282" s="5"/>
      <c r="P282" s="5"/>
      <c r="Q282" s="6" t="s">
        <v>63</v>
      </c>
      <c r="R282" s="5"/>
      <c r="S282" s="6" t="s">
        <v>919</v>
      </c>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row>
    <row r="283" ht="15.75" customHeight="1">
      <c r="A283" s="6">
        <v>685.0</v>
      </c>
      <c r="B283" s="6" t="s">
        <v>866</v>
      </c>
      <c r="C283" s="6" t="s">
        <v>920</v>
      </c>
      <c r="D283" s="5"/>
      <c r="E283" s="6">
        <v>5.0</v>
      </c>
      <c r="F283" s="5"/>
      <c r="G283" s="5"/>
      <c r="H283" s="5"/>
      <c r="I283" s="10"/>
      <c r="J283" s="10"/>
      <c r="K283" s="5"/>
      <c r="L283" s="5"/>
      <c r="M283" s="5"/>
      <c r="N283" s="5"/>
      <c r="O283" s="5"/>
      <c r="P283" s="5"/>
      <c r="Q283" s="6" t="s">
        <v>63</v>
      </c>
      <c r="R283" s="5"/>
      <c r="S283" s="6" t="s">
        <v>683</v>
      </c>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row>
    <row r="284" ht="15.75" customHeight="1">
      <c r="A284" s="6">
        <v>679.0</v>
      </c>
      <c r="B284" s="6" t="s">
        <v>921</v>
      </c>
      <c r="C284" s="6" t="s">
        <v>922</v>
      </c>
      <c r="D284" s="5"/>
      <c r="E284" s="6">
        <v>5.0</v>
      </c>
      <c r="F284" s="5"/>
      <c r="G284" s="5"/>
      <c r="H284" s="5"/>
      <c r="I284" s="10"/>
      <c r="J284" s="10"/>
      <c r="K284" s="5"/>
      <c r="L284" s="5"/>
      <c r="M284" s="5"/>
      <c r="N284" s="5"/>
      <c r="O284" s="5"/>
      <c r="P284" s="5"/>
      <c r="Q284" s="6" t="s">
        <v>63</v>
      </c>
      <c r="R284" s="5"/>
      <c r="S284" s="6" t="s">
        <v>698</v>
      </c>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row>
    <row r="285" ht="15.75" customHeight="1">
      <c r="A285" s="6">
        <v>682.0</v>
      </c>
      <c r="B285" s="6" t="s">
        <v>819</v>
      </c>
      <c r="C285" s="6" t="s">
        <v>922</v>
      </c>
      <c r="D285" s="6" t="s">
        <v>821</v>
      </c>
      <c r="E285" s="6">
        <v>5.0</v>
      </c>
      <c r="F285" s="5"/>
      <c r="G285" s="5"/>
      <c r="H285" s="5"/>
      <c r="I285" s="10"/>
      <c r="J285" s="10"/>
      <c r="K285" s="5"/>
      <c r="L285" s="5"/>
      <c r="M285" s="5"/>
      <c r="N285" s="5"/>
      <c r="O285" s="5"/>
      <c r="P285" s="5"/>
      <c r="Q285" s="6" t="s">
        <v>63</v>
      </c>
      <c r="R285" s="5"/>
      <c r="S285" s="6" t="s">
        <v>150</v>
      </c>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row>
    <row r="286" ht="15.75" customHeight="1">
      <c r="A286" s="6">
        <v>683.0</v>
      </c>
      <c r="B286" s="6" t="s">
        <v>923</v>
      </c>
      <c r="C286" s="6" t="s">
        <v>922</v>
      </c>
      <c r="D286" s="6" t="s">
        <v>821</v>
      </c>
      <c r="E286" s="6">
        <v>5.0</v>
      </c>
      <c r="F286" s="5"/>
      <c r="G286" s="5"/>
      <c r="H286" s="5"/>
      <c r="I286" s="10"/>
      <c r="J286" s="10"/>
      <c r="K286" s="5"/>
      <c r="L286" s="5"/>
      <c r="M286" s="5"/>
      <c r="N286" s="5"/>
      <c r="O286" s="5"/>
      <c r="P286" s="5"/>
      <c r="Q286" s="6" t="s">
        <v>63</v>
      </c>
      <c r="R286" s="5"/>
      <c r="S286" s="6" t="s">
        <v>150</v>
      </c>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row>
    <row r="287" ht="15.75" customHeight="1">
      <c r="A287" s="6">
        <v>681.0</v>
      </c>
      <c r="B287" s="6" t="s">
        <v>581</v>
      </c>
      <c r="C287" s="6" t="s">
        <v>924</v>
      </c>
      <c r="D287" s="5"/>
      <c r="E287" s="6">
        <v>5.0</v>
      </c>
      <c r="F287" s="5"/>
      <c r="G287" s="5"/>
      <c r="H287" s="5"/>
      <c r="I287" s="10"/>
      <c r="J287" s="10"/>
      <c r="K287" s="5"/>
      <c r="L287" s="5"/>
      <c r="M287" s="5"/>
      <c r="N287" s="5"/>
      <c r="O287" s="5"/>
      <c r="P287" s="5"/>
      <c r="Q287" s="6" t="s">
        <v>171</v>
      </c>
      <c r="R287" s="5"/>
      <c r="S287" s="6" t="s">
        <v>925</v>
      </c>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row>
    <row r="288" ht="15.75" customHeight="1">
      <c r="A288" s="6">
        <v>671.0</v>
      </c>
      <c r="B288" s="6" t="s">
        <v>926</v>
      </c>
      <c r="C288" s="6" t="s">
        <v>781</v>
      </c>
      <c r="D288" s="5"/>
      <c r="E288" s="6">
        <v>5.0</v>
      </c>
      <c r="F288" s="5"/>
      <c r="G288" s="5"/>
      <c r="H288" s="5"/>
      <c r="I288" s="10"/>
      <c r="J288" s="10"/>
      <c r="K288" s="5"/>
      <c r="L288" s="5"/>
      <c r="M288" s="5"/>
      <c r="N288" s="5"/>
      <c r="O288" s="5"/>
      <c r="P288" s="5"/>
      <c r="Q288" s="6" t="s">
        <v>171</v>
      </c>
      <c r="R288" s="6"/>
      <c r="S288" s="6" t="s">
        <v>927</v>
      </c>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row>
    <row r="289" ht="15.75" customHeight="1">
      <c r="A289" s="6">
        <v>663.0</v>
      </c>
      <c r="B289" s="6" t="s">
        <v>928</v>
      </c>
      <c r="C289" s="6" t="s">
        <v>929</v>
      </c>
      <c r="D289" s="5"/>
      <c r="E289" s="6">
        <v>5.0</v>
      </c>
      <c r="F289" s="5"/>
      <c r="G289" s="5"/>
      <c r="H289" s="5"/>
      <c r="I289" s="10"/>
      <c r="J289" s="10"/>
      <c r="K289" s="5"/>
      <c r="L289" s="5"/>
      <c r="M289" s="5"/>
      <c r="N289" s="5"/>
      <c r="O289" s="5"/>
      <c r="P289" s="5"/>
      <c r="Q289" s="6" t="s">
        <v>63</v>
      </c>
      <c r="R289" s="5"/>
      <c r="S289" s="6" t="s">
        <v>660</v>
      </c>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row>
    <row r="290" ht="15.75" customHeight="1">
      <c r="A290" s="6">
        <v>660.0</v>
      </c>
      <c r="B290" s="6" t="s">
        <v>930</v>
      </c>
      <c r="C290" s="6" t="s">
        <v>685</v>
      </c>
      <c r="D290" s="5"/>
      <c r="E290" s="6">
        <v>5.0</v>
      </c>
      <c r="F290" s="5"/>
      <c r="G290" s="5"/>
      <c r="H290" s="5"/>
      <c r="I290" s="10"/>
      <c r="J290" s="10"/>
      <c r="K290" s="5"/>
      <c r="L290" s="5"/>
      <c r="M290" s="5"/>
      <c r="N290" s="5"/>
      <c r="O290" s="5"/>
      <c r="P290" s="5"/>
      <c r="Q290" s="6" t="s">
        <v>63</v>
      </c>
      <c r="R290" s="5"/>
      <c r="S290" s="6" t="s">
        <v>931</v>
      </c>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row>
    <row r="291" ht="15.75" customHeight="1">
      <c r="A291" s="6">
        <v>655.0</v>
      </c>
      <c r="B291" s="6" t="s">
        <v>623</v>
      </c>
      <c r="C291" s="6" t="s">
        <v>775</v>
      </c>
      <c r="D291" s="5"/>
      <c r="E291" s="6">
        <v>5.0</v>
      </c>
      <c r="F291" s="5"/>
      <c r="G291" s="5"/>
      <c r="H291" s="5"/>
      <c r="I291" s="10"/>
      <c r="J291" s="10"/>
      <c r="K291" s="5"/>
      <c r="L291" s="5"/>
      <c r="M291" s="5"/>
      <c r="N291" s="5"/>
      <c r="O291" s="5"/>
      <c r="P291" s="5"/>
      <c r="Q291" s="6" t="s">
        <v>171</v>
      </c>
      <c r="R291" s="5"/>
      <c r="S291" s="6" t="s">
        <v>932</v>
      </c>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row>
    <row r="292" ht="15.75" customHeight="1">
      <c r="A292" s="6">
        <v>656.0</v>
      </c>
      <c r="B292" s="6" t="s">
        <v>740</v>
      </c>
      <c r="C292" s="6" t="s">
        <v>775</v>
      </c>
      <c r="D292" s="5"/>
      <c r="E292" s="6">
        <v>4.0</v>
      </c>
      <c r="F292" s="5"/>
      <c r="G292" s="5"/>
      <c r="H292" s="5"/>
      <c r="I292" s="10"/>
      <c r="J292" s="10"/>
      <c r="K292" s="5"/>
      <c r="L292" s="5"/>
      <c r="M292" s="5"/>
      <c r="N292" s="5"/>
      <c r="O292" s="5"/>
      <c r="P292" s="5"/>
      <c r="Q292" s="6" t="s">
        <v>63</v>
      </c>
      <c r="R292" s="5"/>
      <c r="S292" s="6" t="s">
        <v>932</v>
      </c>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row>
    <row r="293" ht="15.75" customHeight="1">
      <c r="A293" s="6">
        <v>657.0</v>
      </c>
      <c r="B293" s="6" t="s">
        <v>758</v>
      </c>
      <c r="C293" s="6" t="s">
        <v>775</v>
      </c>
      <c r="D293" s="5"/>
      <c r="E293" s="6">
        <v>4.0</v>
      </c>
      <c r="F293" s="5"/>
      <c r="G293" s="5"/>
      <c r="H293" s="5"/>
      <c r="I293" s="10"/>
      <c r="J293" s="10"/>
      <c r="K293" s="5"/>
      <c r="L293" s="5"/>
      <c r="M293" s="5"/>
      <c r="N293" s="5"/>
      <c r="O293" s="5"/>
      <c r="P293" s="5"/>
      <c r="Q293" s="6" t="s">
        <v>63</v>
      </c>
      <c r="R293" s="5"/>
      <c r="S293" s="6" t="s">
        <v>932</v>
      </c>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row>
    <row r="294" ht="15.75" customHeight="1">
      <c r="A294" s="5"/>
      <c r="B294" s="6" t="s">
        <v>933</v>
      </c>
      <c r="C294" s="6" t="s">
        <v>141</v>
      </c>
      <c r="D294" s="6" t="s">
        <v>404</v>
      </c>
      <c r="E294" s="6">
        <v>6.0</v>
      </c>
      <c r="F294" s="5"/>
      <c r="G294" s="5"/>
      <c r="H294" s="5"/>
      <c r="I294" s="10"/>
      <c r="J294" s="10"/>
      <c r="K294" s="5"/>
      <c r="L294" s="5"/>
      <c r="M294" s="5"/>
      <c r="N294" s="5"/>
      <c r="O294" s="5"/>
      <c r="P294" s="5"/>
      <c r="Q294" s="6" t="s">
        <v>63</v>
      </c>
      <c r="R294" s="5"/>
      <c r="S294" s="6" t="s">
        <v>934</v>
      </c>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row>
    <row r="295" ht="15.75" customHeight="1">
      <c r="A295" s="6">
        <v>760.0</v>
      </c>
      <c r="B295" s="6" t="s">
        <v>935</v>
      </c>
      <c r="C295" s="6" t="s">
        <v>344</v>
      </c>
      <c r="D295" s="5"/>
      <c r="E295" s="6">
        <v>6.0</v>
      </c>
      <c r="F295" s="5"/>
      <c r="G295" s="5"/>
      <c r="H295" s="5"/>
      <c r="I295" s="10"/>
      <c r="J295" s="10"/>
      <c r="K295" s="5"/>
      <c r="L295" s="5"/>
      <c r="M295" s="5"/>
      <c r="N295" s="5"/>
      <c r="O295" s="5"/>
      <c r="P295" s="5"/>
      <c r="Q295" s="6" t="s">
        <v>171</v>
      </c>
      <c r="R295" s="5"/>
      <c r="S295" s="6" t="s">
        <v>150</v>
      </c>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row>
    <row r="296" ht="15.75" customHeight="1">
      <c r="A296" s="6">
        <v>727.0</v>
      </c>
      <c r="B296" s="6" t="s">
        <v>936</v>
      </c>
      <c r="C296" s="6" t="s">
        <v>396</v>
      </c>
      <c r="D296" s="5"/>
      <c r="E296" s="6">
        <v>6.0</v>
      </c>
      <c r="F296" s="5"/>
      <c r="G296" s="5"/>
      <c r="H296" s="5"/>
      <c r="I296" s="10"/>
      <c r="J296" s="10"/>
      <c r="K296" s="5"/>
      <c r="L296" s="5"/>
      <c r="M296" s="5"/>
      <c r="N296" s="5"/>
      <c r="O296" s="5"/>
      <c r="P296" s="5"/>
      <c r="Q296" s="6" t="s">
        <v>63</v>
      </c>
      <c r="R296" s="5"/>
      <c r="S296" s="6" t="s">
        <v>937</v>
      </c>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row>
    <row r="297" ht="15.75" customHeight="1">
      <c r="A297" s="6">
        <v>719.0</v>
      </c>
      <c r="B297" s="6" t="s">
        <v>938</v>
      </c>
      <c r="C297" s="6" t="s">
        <v>939</v>
      </c>
      <c r="D297" s="5"/>
      <c r="E297" s="6">
        <v>6.0</v>
      </c>
      <c r="F297" s="5"/>
      <c r="G297" s="5"/>
      <c r="H297" s="5"/>
      <c r="I297" s="10"/>
      <c r="J297" s="10"/>
      <c r="K297" s="5"/>
      <c r="L297" s="5"/>
      <c r="M297" s="5"/>
      <c r="N297" s="5"/>
      <c r="O297" s="5"/>
      <c r="P297" s="5"/>
      <c r="Q297" s="6" t="s">
        <v>63</v>
      </c>
      <c r="R297" s="5"/>
      <c r="S297" s="6" t="s">
        <v>940</v>
      </c>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row>
    <row r="298" ht="15.75" customHeight="1">
      <c r="A298" s="6">
        <v>680.0</v>
      </c>
      <c r="B298" s="6" t="s">
        <v>941</v>
      </c>
      <c r="C298" s="6" t="s">
        <v>942</v>
      </c>
      <c r="D298" s="6" t="s">
        <v>943</v>
      </c>
      <c r="E298" s="6">
        <v>6.0</v>
      </c>
      <c r="F298" s="5"/>
      <c r="G298" s="5"/>
      <c r="H298" s="5"/>
      <c r="I298" s="10"/>
      <c r="J298" s="10"/>
      <c r="K298" s="5"/>
      <c r="L298" s="5"/>
      <c r="M298" s="5"/>
      <c r="N298" s="5"/>
      <c r="O298" s="5"/>
      <c r="P298" s="5"/>
      <c r="Q298" s="6" t="s">
        <v>63</v>
      </c>
      <c r="R298" s="5"/>
      <c r="S298" s="6" t="s">
        <v>150</v>
      </c>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row>
    <row r="299" ht="15.75" customHeight="1">
      <c r="A299" s="6">
        <v>677.0</v>
      </c>
      <c r="B299" s="6" t="s">
        <v>192</v>
      </c>
      <c r="C299" s="6" t="s">
        <v>566</v>
      </c>
      <c r="D299" s="5"/>
      <c r="E299" s="6">
        <v>6.0</v>
      </c>
      <c r="F299" s="5"/>
      <c r="G299" s="5"/>
      <c r="H299" s="5"/>
      <c r="I299" s="10"/>
      <c r="J299" s="10"/>
      <c r="K299" s="5"/>
      <c r="L299" s="5"/>
      <c r="M299" s="5"/>
      <c r="N299" s="5"/>
      <c r="O299" s="5"/>
      <c r="P299" s="5"/>
      <c r="Q299" s="6" t="s">
        <v>63</v>
      </c>
      <c r="R299" s="5"/>
      <c r="S299" s="6" t="s">
        <v>944</v>
      </c>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row>
    <row r="300" ht="15.75" customHeight="1">
      <c r="A300" s="6">
        <v>678.0</v>
      </c>
      <c r="B300" s="6" t="s">
        <v>945</v>
      </c>
      <c r="C300" s="6" t="s">
        <v>566</v>
      </c>
      <c r="D300" s="5"/>
      <c r="E300" s="6">
        <v>4.0</v>
      </c>
      <c r="F300" s="5"/>
      <c r="G300" s="5"/>
      <c r="H300" s="5"/>
      <c r="I300" s="10"/>
      <c r="J300" s="10"/>
      <c r="K300" s="5"/>
      <c r="L300" s="5"/>
      <c r="M300" s="5"/>
      <c r="N300" s="5"/>
      <c r="O300" s="5"/>
      <c r="P300" s="5"/>
      <c r="Q300" s="6" t="s">
        <v>63</v>
      </c>
      <c r="R300" s="5"/>
      <c r="S300" s="6" t="s">
        <v>944</v>
      </c>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row>
    <row r="301" ht="15.75" customHeight="1">
      <c r="A301" s="6">
        <v>659.0</v>
      </c>
      <c r="B301" s="6" t="s">
        <v>838</v>
      </c>
      <c r="C301" s="6" t="s">
        <v>319</v>
      </c>
      <c r="D301" s="5"/>
      <c r="E301" s="6">
        <v>6.0</v>
      </c>
      <c r="F301" s="5"/>
      <c r="G301" s="5"/>
      <c r="H301" s="5"/>
      <c r="I301" s="10"/>
      <c r="J301" s="10"/>
      <c r="K301" s="5"/>
      <c r="L301" s="5"/>
      <c r="M301" s="5"/>
      <c r="N301" s="5"/>
      <c r="O301" s="5"/>
      <c r="P301" s="5"/>
      <c r="Q301" s="6" t="s">
        <v>171</v>
      </c>
      <c r="R301" s="5"/>
      <c r="S301" s="6" t="s">
        <v>931</v>
      </c>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row>
    <row r="302" ht="15.75" customHeight="1">
      <c r="A302" s="5"/>
      <c r="B302" s="6" t="s">
        <v>734</v>
      </c>
      <c r="C302" s="6" t="s">
        <v>387</v>
      </c>
      <c r="D302" s="5"/>
      <c r="E302" s="6">
        <v>6.0</v>
      </c>
      <c r="F302" s="5"/>
      <c r="G302" s="5"/>
      <c r="H302" s="5"/>
      <c r="I302" s="10"/>
      <c r="J302" s="10"/>
      <c r="K302" s="5"/>
      <c r="L302" s="5"/>
      <c r="M302" s="5"/>
      <c r="N302" s="5"/>
      <c r="O302" s="5"/>
      <c r="P302" s="5"/>
      <c r="Q302" s="6" t="s">
        <v>63</v>
      </c>
      <c r="R302" s="5"/>
      <c r="S302" s="6" t="s">
        <v>946</v>
      </c>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row>
    <row r="303" ht="15.75" customHeight="1">
      <c r="A303" s="5"/>
      <c r="B303" s="6" t="s">
        <v>947</v>
      </c>
      <c r="C303" s="6" t="s">
        <v>268</v>
      </c>
      <c r="D303" s="5"/>
      <c r="E303" s="6">
        <v>6.0</v>
      </c>
      <c r="F303" s="5"/>
      <c r="G303" s="5"/>
      <c r="H303" s="5"/>
      <c r="I303" s="10"/>
      <c r="J303" s="10"/>
      <c r="K303" s="5"/>
      <c r="L303" s="5"/>
      <c r="M303" s="5"/>
      <c r="N303" s="5"/>
      <c r="O303" s="5"/>
      <c r="P303" s="5"/>
      <c r="Q303" s="6" t="s">
        <v>63</v>
      </c>
      <c r="R303" s="5"/>
      <c r="S303" s="6" t="s">
        <v>739</v>
      </c>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row>
    <row r="304" ht="15.75" customHeight="1">
      <c r="A304" s="6">
        <v>712.0</v>
      </c>
      <c r="B304" s="6" t="s">
        <v>948</v>
      </c>
      <c r="C304" s="6" t="s">
        <v>908</v>
      </c>
      <c r="D304" s="5"/>
      <c r="E304" s="6">
        <v>6.0</v>
      </c>
      <c r="F304" s="5"/>
      <c r="G304" s="5"/>
      <c r="H304" s="5"/>
      <c r="I304" s="10"/>
      <c r="J304" s="10"/>
      <c r="K304" s="5"/>
      <c r="L304" s="5"/>
      <c r="M304" s="5"/>
      <c r="N304" s="5"/>
      <c r="O304" s="5"/>
      <c r="P304" s="5"/>
      <c r="Q304" s="6" t="s">
        <v>63</v>
      </c>
      <c r="R304" s="5"/>
      <c r="S304" s="6" t="s">
        <v>949</v>
      </c>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row>
    <row r="305" ht="15.75" customHeight="1">
      <c r="A305" s="6">
        <v>713.0</v>
      </c>
      <c r="B305" s="6" t="s">
        <v>950</v>
      </c>
      <c r="C305" s="6" t="s">
        <v>908</v>
      </c>
      <c r="D305" s="5"/>
      <c r="E305" s="6">
        <v>5.0</v>
      </c>
      <c r="F305" s="5"/>
      <c r="G305" s="5"/>
      <c r="H305" s="5"/>
      <c r="I305" s="10"/>
      <c r="J305" s="10"/>
      <c r="K305" s="5"/>
      <c r="L305" s="5"/>
      <c r="M305" s="5"/>
      <c r="N305" s="5"/>
      <c r="O305" s="5"/>
      <c r="P305" s="5"/>
      <c r="Q305" s="6" t="s">
        <v>63</v>
      </c>
      <c r="R305" s="5"/>
      <c r="S305" s="6" t="s">
        <v>949</v>
      </c>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row>
    <row r="306" ht="15.75" customHeight="1">
      <c r="A306" s="6">
        <v>639.0</v>
      </c>
      <c r="B306" s="6" t="s">
        <v>951</v>
      </c>
      <c r="C306" s="6" t="s">
        <v>563</v>
      </c>
      <c r="D306" s="6" t="s">
        <v>564</v>
      </c>
      <c r="E306" s="6">
        <v>6.0</v>
      </c>
      <c r="F306" s="5"/>
      <c r="G306" s="5"/>
      <c r="H306" s="5"/>
      <c r="I306" s="10"/>
      <c r="J306" s="10"/>
      <c r="K306" s="5"/>
      <c r="L306" s="5"/>
      <c r="M306" s="5"/>
      <c r="N306" s="5"/>
      <c r="O306" s="5"/>
      <c r="P306" s="5"/>
      <c r="Q306" s="6" t="s">
        <v>171</v>
      </c>
      <c r="R306" s="5"/>
      <c r="S306" s="6" t="s">
        <v>949</v>
      </c>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row>
    <row r="307" ht="15.75" customHeight="1">
      <c r="A307" s="6">
        <v>640.0</v>
      </c>
      <c r="B307" s="6" t="s">
        <v>952</v>
      </c>
      <c r="C307" s="6" t="s">
        <v>953</v>
      </c>
      <c r="D307" s="6" t="s">
        <v>564</v>
      </c>
      <c r="E307" s="6">
        <v>2.0</v>
      </c>
      <c r="F307" s="5"/>
      <c r="G307" s="5"/>
      <c r="H307" s="5"/>
      <c r="I307" s="10"/>
      <c r="J307" s="10"/>
      <c r="K307" s="5"/>
      <c r="L307" s="5"/>
      <c r="M307" s="5"/>
      <c r="N307" s="5"/>
      <c r="O307" s="5"/>
      <c r="P307" s="5"/>
      <c r="Q307" s="6" t="s">
        <v>171</v>
      </c>
      <c r="R307" s="5"/>
      <c r="S307" s="6" t="s">
        <v>954</v>
      </c>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row>
    <row r="308" ht="15.75" customHeight="1">
      <c r="A308" s="6">
        <v>623.0</v>
      </c>
      <c r="B308" s="6" t="s">
        <v>955</v>
      </c>
      <c r="C308" s="6" t="s">
        <v>691</v>
      </c>
      <c r="D308" s="5"/>
      <c r="E308" s="6">
        <v>6.0</v>
      </c>
      <c r="F308" s="5"/>
      <c r="G308" s="5"/>
      <c r="H308" s="5"/>
      <c r="I308" s="10"/>
      <c r="J308" s="10"/>
      <c r="K308" s="5"/>
      <c r="L308" s="5"/>
      <c r="M308" s="5"/>
      <c r="N308" s="5"/>
      <c r="O308" s="5"/>
      <c r="P308" s="5"/>
      <c r="Q308" s="6" t="s">
        <v>63</v>
      </c>
      <c r="R308" s="5"/>
      <c r="S308" s="6" t="s">
        <v>660</v>
      </c>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row>
    <row r="309" ht="15.75" customHeight="1">
      <c r="A309" s="6">
        <v>621.0</v>
      </c>
      <c r="B309" s="6" t="s">
        <v>956</v>
      </c>
      <c r="C309" s="6" t="s">
        <v>852</v>
      </c>
      <c r="D309" s="5"/>
      <c r="E309" s="6">
        <v>6.0</v>
      </c>
      <c r="F309" s="5"/>
      <c r="G309" s="5"/>
      <c r="H309" s="5"/>
      <c r="I309" s="10"/>
      <c r="J309" s="10"/>
      <c r="K309" s="5"/>
      <c r="L309" s="5"/>
      <c r="M309" s="5"/>
      <c r="N309" s="5"/>
      <c r="O309" s="5"/>
      <c r="P309" s="5"/>
      <c r="Q309" s="6" t="s">
        <v>63</v>
      </c>
      <c r="R309" s="5"/>
      <c r="S309" s="6" t="s">
        <v>660</v>
      </c>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row>
    <row r="310" ht="15.75" customHeight="1">
      <c r="A310" s="6">
        <v>614.0</v>
      </c>
      <c r="B310" s="6" t="s">
        <v>957</v>
      </c>
      <c r="C310" s="6" t="s">
        <v>606</v>
      </c>
      <c r="D310" s="5"/>
      <c r="E310" s="6">
        <v>6.0</v>
      </c>
      <c r="F310" s="5"/>
      <c r="G310" s="5"/>
      <c r="H310" s="5"/>
      <c r="I310" s="10"/>
      <c r="J310" s="10"/>
      <c r="K310" s="5"/>
      <c r="L310" s="5"/>
      <c r="M310" s="5"/>
      <c r="N310" s="5"/>
      <c r="O310" s="5"/>
      <c r="P310" s="5"/>
      <c r="Q310" s="6" t="s">
        <v>63</v>
      </c>
      <c r="R310" s="5"/>
      <c r="S310" s="6" t="s">
        <v>914</v>
      </c>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row>
    <row r="311" ht="15.75" customHeight="1">
      <c r="A311" s="6">
        <v>621.0</v>
      </c>
      <c r="B311" s="6" t="s">
        <v>958</v>
      </c>
      <c r="C311" s="6" t="s">
        <v>959</v>
      </c>
      <c r="D311" s="5"/>
      <c r="E311" s="6">
        <v>7.0</v>
      </c>
      <c r="F311" s="5"/>
      <c r="G311" s="5"/>
      <c r="H311" s="5"/>
      <c r="I311" s="10"/>
      <c r="J311" s="10"/>
      <c r="K311" s="5"/>
      <c r="L311" s="5"/>
      <c r="M311" s="5"/>
      <c r="N311" s="5"/>
      <c r="O311" s="5"/>
      <c r="P311" s="5"/>
      <c r="Q311" s="6" t="s">
        <v>63</v>
      </c>
      <c r="R311" s="5"/>
      <c r="S311" s="6" t="s">
        <v>960</v>
      </c>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row>
    <row r="312" ht="15.75" customHeight="1">
      <c r="A312" s="6">
        <v>720.0</v>
      </c>
      <c r="B312" s="6" t="s">
        <v>961</v>
      </c>
      <c r="C312" s="6" t="s">
        <v>962</v>
      </c>
      <c r="D312" s="5"/>
      <c r="E312" s="6">
        <v>7.0</v>
      </c>
      <c r="F312" s="5"/>
      <c r="G312" s="5"/>
      <c r="H312" s="5"/>
      <c r="I312" s="10"/>
      <c r="J312" s="10"/>
      <c r="K312" s="5"/>
      <c r="L312" s="5"/>
      <c r="M312" s="5"/>
      <c r="N312" s="5"/>
      <c r="O312" s="5"/>
      <c r="P312" s="5"/>
      <c r="Q312" s="6" t="s">
        <v>63</v>
      </c>
      <c r="R312" s="5"/>
      <c r="S312" s="6" t="s">
        <v>698</v>
      </c>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row>
    <row r="313" ht="15.75" customHeight="1">
      <c r="A313" s="6">
        <v>716.0</v>
      </c>
      <c r="B313" s="6" t="s">
        <v>963</v>
      </c>
      <c r="C313" s="6" t="s">
        <v>903</v>
      </c>
      <c r="D313" s="5"/>
      <c r="E313" s="6">
        <v>7.0</v>
      </c>
      <c r="F313" s="5"/>
      <c r="G313" s="5"/>
      <c r="H313" s="5"/>
      <c r="I313" s="10"/>
      <c r="J313" s="10"/>
      <c r="K313" s="5"/>
      <c r="L313" s="5"/>
      <c r="M313" s="5"/>
      <c r="N313" s="5"/>
      <c r="O313" s="5"/>
      <c r="P313" s="5"/>
      <c r="Q313" s="6" t="s">
        <v>63</v>
      </c>
      <c r="R313" s="5"/>
      <c r="S313" s="6" t="s">
        <v>964</v>
      </c>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row>
    <row r="314" ht="15.75" customHeight="1">
      <c r="A314" s="6">
        <v>717.0</v>
      </c>
      <c r="B314" s="6" t="s">
        <v>965</v>
      </c>
      <c r="C314" s="6" t="s">
        <v>903</v>
      </c>
      <c r="D314" s="5"/>
      <c r="E314" s="6">
        <v>5.0</v>
      </c>
      <c r="F314" s="5"/>
      <c r="G314" s="5"/>
      <c r="H314" s="5"/>
      <c r="I314" s="10"/>
      <c r="J314" s="10"/>
      <c r="K314" s="5"/>
      <c r="L314" s="5"/>
      <c r="M314" s="5"/>
      <c r="N314" s="5"/>
      <c r="O314" s="5"/>
      <c r="P314" s="5"/>
      <c r="Q314" s="6" t="s">
        <v>63</v>
      </c>
      <c r="R314" s="5"/>
      <c r="S314" s="6" t="s">
        <v>964</v>
      </c>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row>
    <row r="315" ht="15.75" customHeight="1">
      <c r="A315" s="6">
        <v>708.0</v>
      </c>
      <c r="B315" s="6" t="s">
        <v>966</v>
      </c>
      <c r="C315" s="6" t="s">
        <v>967</v>
      </c>
      <c r="D315" s="5"/>
      <c r="E315" s="6">
        <v>7.0</v>
      </c>
      <c r="F315" s="5"/>
      <c r="G315" s="5"/>
      <c r="H315" s="5"/>
      <c r="I315" s="10"/>
      <c r="J315" s="10"/>
      <c r="K315" s="5"/>
      <c r="L315" s="5"/>
      <c r="M315" s="5"/>
      <c r="N315" s="5"/>
      <c r="O315" s="5"/>
      <c r="P315" s="5"/>
      <c r="Q315" s="6" t="s">
        <v>63</v>
      </c>
      <c r="R315" s="5"/>
      <c r="S315" s="6" t="s">
        <v>191</v>
      </c>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row>
    <row r="316" ht="15.75" customHeight="1">
      <c r="A316" s="6">
        <v>758.0</v>
      </c>
      <c r="B316" s="6" t="s">
        <v>968</v>
      </c>
      <c r="C316" s="6" t="s">
        <v>639</v>
      </c>
      <c r="D316" s="5"/>
      <c r="E316" s="6">
        <v>7.0</v>
      </c>
      <c r="F316" s="5"/>
      <c r="G316" s="5"/>
      <c r="H316" s="5"/>
      <c r="I316" s="10"/>
      <c r="J316" s="10"/>
      <c r="K316" s="5"/>
      <c r="L316" s="5"/>
      <c r="M316" s="5"/>
      <c r="N316" s="5"/>
      <c r="O316" s="5"/>
      <c r="P316" s="5"/>
      <c r="Q316" s="6" t="s">
        <v>63</v>
      </c>
      <c r="R316" s="5"/>
      <c r="S316" s="6" t="s">
        <v>914</v>
      </c>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row>
    <row r="317" ht="15.75" customHeight="1">
      <c r="A317" s="6">
        <v>646.0</v>
      </c>
      <c r="B317" s="6" t="s">
        <v>969</v>
      </c>
      <c r="C317" s="6" t="s">
        <v>453</v>
      </c>
      <c r="D317" s="5"/>
      <c r="E317" s="6">
        <v>7.0</v>
      </c>
      <c r="F317" s="5"/>
      <c r="G317" s="5"/>
      <c r="H317" s="5"/>
      <c r="I317" s="10"/>
      <c r="J317" s="10"/>
      <c r="K317" s="5"/>
      <c r="L317" s="5"/>
      <c r="M317" s="5"/>
      <c r="N317" s="5"/>
      <c r="O317" s="5"/>
      <c r="P317" s="5"/>
      <c r="Q317" s="6" t="s">
        <v>63</v>
      </c>
      <c r="R317" s="5"/>
      <c r="S317" s="6" t="s">
        <v>970</v>
      </c>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row>
    <row r="318" ht="15.75" customHeight="1">
      <c r="A318" s="6">
        <v>695.0</v>
      </c>
      <c r="B318" s="6" t="s">
        <v>971</v>
      </c>
      <c r="C318" s="6" t="s">
        <v>700</v>
      </c>
      <c r="D318" s="5"/>
      <c r="E318" s="6">
        <v>7.0</v>
      </c>
      <c r="F318" s="5"/>
      <c r="G318" s="5"/>
      <c r="H318" s="5"/>
      <c r="I318" s="10"/>
      <c r="J318" s="10"/>
      <c r="K318" s="5"/>
      <c r="L318" s="5"/>
      <c r="M318" s="5"/>
      <c r="N318" s="5"/>
      <c r="O318" s="5"/>
      <c r="P318" s="5"/>
      <c r="Q318" s="6" t="s">
        <v>63</v>
      </c>
      <c r="R318" s="5"/>
      <c r="S318" s="6" t="s">
        <v>972</v>
      </c>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row>
    <row r="319" ht="15.75" customHeight="1">
      <c r="A319" s="6">
        <v>642.0</v>
      </c>
      <c r="B319" s="6" t="s">
        <v>973</v>
      </c>
      <c r="C319" s="6" t="s">
        <v>974</v>
      </c>
      <c r="D319" s="5"/>
      <c r="E319" s="6">
        <v>7.0</v>
      </c>
      <c r="F319" s="6"/>
      <c r="G319" s="5"/>
      <c r="H319" s="5"/>
      <c r="I319" s="10"/>
      <c r="J319" s="10"/>
      <c r="K319" s="5"/>
      <c r="L319" s="5"/>
      <c r="M319" s="5"/>
      <c r="N319" s="5"/>
      <c r="O319" s="5"/>
      <c r="P319" s="5"/>
      <c r="Q319" s="6" t="s">
        <v>63</v>
      </c>
      <c r="R319" s="5"/>
      <c r="S319" s="6" t="s">
        <v>975</v>
      </c>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row>
    <row r="320" ht="15.75" customHeight="1">
      <c r="A320" s="6">
        <v>702.0</v>
      </c>
      <c r="B320" s="6" t="s">
        <v>976</v>
      </c>
      <c r="C320" s="6" t="s">
        <v>977</v>
      </c>
      <c r="D320" s="5"/>
      <c r="E320" s="6">
        <v>7.0</v>
      </c>
      <c r="F320" s="5"/>
      <c r="G320" s="5"/>
      <c r="H320" s="5"/>
      <c r="I320" s="10"/>
      <c r="J320" s="10"/>
      <c r="K320" s="5"/>
      <c r="L320" s="5"/>
      <c r="M320" s="5"/>
      <c r="N320" s="5"/>
      <c r="O320" s="5"/>
      <c r="P320" s="5"/>
      <c r="Q320" s="6" t="s">
        <v>63</v>
      </c>
      <c r="R320" s="5"/>
      <c r="S320" s="6" t="s">
        <v>978</v>
      </c>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row>
    <row r="321" ht="15.75" customHeight="1">
      <c r="A321" s="6">
        <v>703.0</v>
      </c>
      <c r="B321" s="6" t="s">
        <v>979</v>
      </c>
      <c r="C321" s="6" t="s">
        <v>980</v>
      </c>
      <c r="D321" s="5"/>
      <c r="E321" s="6">
        <v>7.0</v>
      </c>
      <c r="F321" s="5"/>
      <c r="G321" s="5"/>
      <c r="H321" s="5"/>
      <c r="I321" s="10"/>
      <c r="J321" s="10"/>
      <c r="K321" s="5"/>
      <c r="L321" s="5"/>
      <c r="M321" s="5"/>
      <c r="N321" s="5"/>
      <c r="O321" s="5"/>
      <c r="P321" s="5"/>
      <c r="Q321" s="6" t="s">
        <v>63</v>
      </c>
      <c r="R321" s="5"/>
      <c r="S321" s="6" t="s">
        <v>978</v>
      </c>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row>
    <row r="322" ht="15.75" customHeight="1">
      <c r="A322" s="6">
        <v>704.0</v>
      </c>
      <c r="B322" s="6" t="s">
        <v>731</v>
      </c>
      <c r="C322" s="6" t="s">
        <v>732</v>
      </c>
      <c r="D322" s="5"/>
      <c r="E322" s="6">
        <v>7.0</v>
      </c>
      <c r="F322" s="5"/>
      <c r="G322" s="5"/>
      <c r="H322" s="5"/>
      <c r="I322" s="10"/>
      <c r="J322" s="10"/>
      <c r="K322" s="5"/>
      <c r="L322" s="5"/>
      <c r="M322" s="5"/>
      <c r="N322" s="5"/>
      <c r="O322" s="5"/>
      <c r="P322" s="5"/>
      <c r="Q322" s="6" t="s">
        <v>63</v>
      </c>
      <c r="R322" s="5"/>
      <c r="S322" s="6" t="s">
        <v>972</v>
      </c>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row>
    <row r="323" ht="15.75" customHeight="1">
      <c r="A323" s="6">
        <v>705.0</v>
      </c>
      <c r="B323" s="6" t="s">
        <v>667</v>
      </c>
      <c r="C323" s="6" t="s">
        <v>741</v>
      </c>
      <c r="D323" s="5"/>
      <c r="E323" s="6">
        <v>7.0</v>
      </c>
      <c r="F323" s="5"/>
      <c r="G323" s="5"/>
      <c r="H323" s="5"/>
      <c r="I323" s="10"/>
      <c r="J323" s="10"/>
      <c r="K323" s="5"/>
      <c r="L323" s="5"/>
      <c r="M323" s="5"/>
      <c r="N323" s="5"/>
      <c r="O323" s="5"/>
      <c r="P323" s="5"/>
      <c r="Q323" s="6" t="s">
        <v>63</v>
      </c>
      <c r="R323" s="5"/>
      <c r="S323" s="6" t="s">
        <v>972</v>
      </c>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row>
    <row r="324" ht="15.75" customHeight="1">
      <c r="A324" s="6">
        <v>699.0</v>
      </c>
      <c r="B324" s="6" t="s">
        <v>570</v>
      </c>
      <c r="C324" s="6" t="s">
        <v>981</v>
      </c>
      <c r="D324" s="5"/>
      <c r="E324" s="6">
        <v>7.0</v>
      </c>
      <c r="F324" s="5"/>
      <c r="G324" s="5"/>
      <c r="H324" s="5"/>
      <c r="I324" s="10"/>
      <c r="J324" s="10"/>
      <c r="K324" s="5"/>
      <c r="L324" s="5"/>
      <c r="M324" s="5"/>
      <c r="N324" s="5"/>
      <c r="O324" s="5"/>
      <c r="P324" s="5"/>
      <c r="Q324" s="6" t="s">
        <v>63</v>
      </c>
      <c r="R324" s="5"/>
      <c r="S324" s="6" t="s">
        <v>972</v>
      </c>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row>
    <row r="325" ht="15.75" customHeight="1">
      <c r="A325" s="6">
        <v>742.0</v>
      </c>
      <c r="B325" s="6" t="s">
        <v>410</v>
      </c>
      <c r="C325" s="6" t="s">
        <v>133</v>
      </c>
      <c r="D325" s="5"/>
      <c r="E325" s="6">
        <v>7.0</v>
      </c>
      <c r="F325" s="5"/>
      <c r="G325" s="5"/>
      <c r="H325" s="5"/>
      <c r="I325" s="10"/>
      <c r="J325" s="10"/>
      <c r="K325" s="5"/>
      <c r="L325" s="5"/>
      <c r="M325" s="5"/>
      <c r="N325" s="5"/>
      <c r="O325" s="5"/>
      <c r="P325" s="5"/>
      <c r="Q325" s="6" t="s">
        <v>63</v>
      </c>
      <c r="R325" s="5"/>
      <c r="S325" s="6" t="s">
        <v>982</v>
      </c>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row>
    <row r="326" ht="15.75" customHeight="1">
      <c r="A326" s="6">
        <v>718.0</v>
      </c>
      <c r="B326" s="6" t="s">
        <v>983</v>
      </c>
      <c r="C326" s="6" t="s">
        <v>984</v>
      </c>
      <c r="D326" s="6" t="s">
        <v>467</v>
      </c>
      <c r="E326" s="6">
        <v>8.0</v>
      </c>
      <c r="F326" s="5"/>
      <c r="G326" s="5"/>
      <c r="H326" s="5"/>
      <c r="I326" s="10"/>
      <c r="J326" s="10"/>
      <c r="K326" s="5"/>
      <c r="L326" s="5"/>
      <c r="M326" s="5"/>
      <c r="N326" s="5"/>
      <c r="O326" s="5"/>
      <c r="P326" s="5"/>
      <c r="Q326" s="6" t="s">
        <v>63</v>
      </c>
      <c r="R326" s="5"/>
      <c r="S326" s="6" t="s">
        <v>351</v>
      </c>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row>
    <row r="327" ht="15.75" customHeight="1">
      <c r="A327" s="5"/>
      <c r="B327" s="6" t="s">
        <v>115</v>
      </c>
      <c r="C327" s="6" t="s">
        <v>854</v>
      </c>
      <c r="D327" s="6" t="s">
        <v>117</v>
      </c>
      <c r="E327" s="6">
        <v>8.0</v>
      </c>
      <c r="F327" s="5"/>
      <c r="G327" s="5"/>
      <c r="H327" s="5"/>
      <c r="I327" s="10"/>
      <c r="J327" s="10"/>
      <c r="K327" s="5"/>
      <c r="L327" s="5"/>
      <c r="M327" s="5"/>
      <c r="N327" s="5"/>
      <c r="O327" s="5"/>
      <c r="P327" s="5"/>
      <c r="Q327" s="6" t="s">
        <v>63</v>
      </c>
      <c r="R327" s="6"/>
      <c r="S327" s="6" t="s">
        <v>985</v>
      </c>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row>
    <row r="328" ht="15.75" customHeight="1">
      <c r="A328" s="6">
        <v>745.0</v>
      </c>
      <c r="B328" s="6" t="s">
        <v>186</v>
      </c>
      <c r="C328" s="6" t="s">
        <v>187</v>
      </c>
      <c r="D328" s="5"/>
      <c r="E328" s="6">
        <v>8.0</v>
      </c>
      <c r="F328" s="5"/>
      <c r="G328" s="5"/>
      <c r="H328" s="5"/>
      <c r="I328" s="10"/>
      <c r="J328" s="10"/>
      <c r="K328" s="5"/>
      <c r="L328" s="5"/>
      <c r="M328" s="5"/>
      <c r="N328" s="5"/>
      <c r="O328" s="5"/>
      <c r="P328" s="5"/>
      <c r="Q328" s="6" t="s">
        <v>63</v>
      </c>
      <c r="R328" s="5"/>
      <c r="S328" s="6" t="s">
        <v>191</v>
      </c>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row>
    <row r="329" ht="15.75" customHeight="1">
      <c r="A329" s="6">
        <v>743.0</v>
      </c>
      <c r="B329" s="6" t="s">
        <v>491</v>
      </c>
      <c r="C329" s="6" t="s">
        <v>396</v>
      </c>
      <c r="D329" s="6" t="s">
        <v>986</v>
      </c>
      <c r="E329" s="6">
        <v>8.0</v>
      </c>
      <c r="F329" s="5"/>
      <c r="G329" s="5"/>
      <c r="H329" s="5"/>
      <c r="I329" s="10"/>
      <c r="J329" s="10"/>
      <c r="K329" s="5"/>
      <c r="L329" s="5"/>
      <c r="M329" s="5"/>
      <c r="N329" s="5"/>
      <c r="O329" s="5"/>
      <c r="P329" s="5"/>
      <c r="Q329" s="6" t="s">
        <v>63</v>
      </c>
      <c r="R329" s="5"/>
      <c r="S329" s="6" t="s">
        <v>987</v>
      </c>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row>
    <row r="330" ht="15.75" customHeight="1">
      <c r="A330" s="6">
        <v>761.0</v>
      </c>
      <c r="B330" s="6" t="s">
        <v>988</v>
      </c>
      <c r="C330" s="6" t="s">
        <v>989</v>
      </c>
      <c r="D330" s="6" t="s">
        <v>990</v>
      </c>
      <c r="E330" s="6">
        <v>8.0</v>
      </c>
      <c r="F330" s="5"/>
      <c r="G330" s="5"/>
      <c r="H330" s="5"/>
      <c r="I330" s="10"/>
      <c r="J330" s="10"/>
      <c r="K330" s="5"/>
      <c r="L330" s="5"/>
      <c r="M330" s="5"/>
      <c r="N330" s="5"/>
      <c r="O330" s="5"/>
      <c r="P330" s="5"/>
      <c r="Q330" s="6" t="s">
        <v>63</v>
      </c>
      <c r="R330" s="5"/>
      <c r="S330" s="6" t="s">
        <v>991</v>
      </c>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row>
    <row r="331" ht="15.75" customHeight="1">
      <c r="A331" s="6"/>
      <c r="B331" s="6" t="s">
        <v>301</v>
      </c>
      <c r="C331" s="6" t="s">
        <v>302</v>
      </c>
      <c r="D331" s="5"/>
      <c r="E331" s="6">
        <v>8.0</v>
      </c>
      <c r="F331" s="5"/>
      <c r="G331" s="5"/>
      <c r="H331" s="5"/>
      <c r="I331" s="10"/>
      <c r="J331" s="10"/>
      <c r="K331" s="5"/>
      <c r="L331" s="5"/>
      <c r="M331" s="5"/>
      <c r="N331" s="5"/>
      <c r="O331" s="5"/>
      <c r="P331" s="5"/>
      <c r="Q331" s="6" t="s">
        <v>63</v>
      </c>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row>
    <row r="332" ht="15.75" customHeight="1">
      <c r="A332" s="5"/>
      <c r="B332" s="6" t="s">
        <v>418</v>
      </c>
      <c r="C332" s="6" t="s">
        <v>419</v>
      </c>
      <c r="D332" s="5"/>
      <c r="E332" s="6">
        <v>8.0</v>
      </c>
      <c r="F332" s="6" t="s">
        <v>992</v>
      </c>
      <c r="G332" s="5"/>
      <c r="H332" s="5"/>
      <c r="I332" s="10"/>
      <c r="J332" s="10"/>
      <c r="K332" s="5"/>
      <c r="L332" s="5"/>
      <c r="M332" s="5"/>
      <c r="N332" s="5"/>
      <c r="O332" s="5"/>
      <c r="P332" s="5"/>
      <c r="Q332" s="6" t="s">
        <v>63</v>
      </c>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row>
    <row r="333" ht="15.75" customHeight="1">
      <c r="A333" s="5"/>
      <c r="B333" s="6" t="s">
        <v>181</v>
      </c>
      <c r="C333" s="6" t="s">
        <v>419</v>
      </c>
      <c r="D333" s="5"/>
      <c r="E333" s="6">
        <v>8.0</v>
      </c>
      <c r="F333" s="5"/>
      <c r="G333" s="5"/>
      <c r="H333" s="5"/>
      <c r="I333" s="10"/>
      <c r="J333" s="10"/>
      <c r="K333" s="5"/>
      <c r="L333" s="5"/>
      <c r="M333" s="5"/>
      <c r="N333" s="5"/>
      <c r="O333" s="5"/>
      <c r="P333" s="5"/>
      <c r="Q333" s="6" t="s">
        <v>63</v>
      </c>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row>
    <row r="334" ht="15.75" customHeight="1">
      <c r="A334" s="5"/>
      <c r="B334" s="6" t="s">
        <v>993</v>
      </c>
      <c r="C334" s="6" t="s">
        <v>419</v>
      </c>
      <c r="D334" s="5"/>
      <c r="E334" s="6">
        <v>4.0</v>
      </c>
      <c r="F334" s="5"/>
      <c r="G334" s="5"/>
      <c r="H334" s="5"/>
      <c r="I334" s="10"/>
      <c r="J334" s="10"/>
      <c r="K334" s="5"/>
      <c r="L334" s="5"/>
      <c r="M334" s="5"/>
      <c r="N334" s="5"/>
      <c r="O334" s="5"/>
      <c r="P334" s="5"/>
      <c r="Q334" s="6" t="s">
        <v>63</v>
      </c>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row>
    <row r="335" ht="15.75" customHeight="1">
      <c r="A335" s="6">
        <v>701.0</v>
      </c>
      <c r="B335" s="6" t="s">
        <v>439</v>
      </c>
      <c r="C335" s="6" t="s">
        <v>440</v>
      </c>
      <c r="D335" s="5"/>
      <c r="E335" s="6">
        <v>8.0</v>
      </c>
      <c r="F335" s="5"/>
      <c r="G335" s="5"/>
      <c r="H335" s="5"/>
      <c r="I335" s="10"/>
      <c r="J335" s="10"/>
      <c r="K335" s="5"/>
      <c r="L335" s="5"/>
      <c r="M335" s="5"/>
      <c r="N335" s="5"/>
      <c r="O335" s="5"/>
      <c r="P335" s="5"/>
      <c r="Q335" s="6" t="s">
        <v>63</v>
      </c>
      <c r="R335" s="5"/>
      <c r="S335" s="6" t="s">
        <v>994</v>
      </c>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row>
    <row r="336" ht="15.75" customHeight="1">
      <c r="A336" s="6">
        <v>651.0</v>
      </c>
      <c r="B336" s="6" t="s">
        <v>995</v>
      </c>
      <c r="C336" s="6" t="s">
        <v>996</v>
      </c>
      <c r="D336" s="5"/>
      <c r="E336" s="6">
        <v>8.0</v>
      </c>
      <c r="F336" s="5"/>
      <c r="G336" s="5"/>
      <c r="H336" s="5"/>
      <c r="I336" s="10"/>
      <c r="J336" s="10"/>
      <c r="K336" s="5"/>
      <c r="L336" s="5"/>
      <c r="M336" s="5"/>
      <c r="N336" s="5"/>
      <c r="O336" s="5"/>
      <c r="P336" s="5"/>
      <c r="Q336" s="6" t="s">
        <v>63</v>
      </c>
      <c r="R336" s="5"/>
      <c r="S336" s="6" t="s">
        <v>997</v>
      </c>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row>
    <row r="337" ht="15.75" customHeight="1">
      <c r="A337" s="6">
        <v>647.0</v>
      </c>
      <c r="B337" s="6" t="s">
        <v>692</v>
      </c>
      <c r="C337" s="6" t="s">
        <v>651</v>
      </c>
      <c r="D337" s="5"/>
      <c r="E337" s="6">
        <v>8.0</v>
      </c>
      <c r="F337" s="5"/>
      <c r="G337" s="5"/>
      <c r="H337" s="5"/>
      <c r="I337" s="10"/>
      <c r="J337" s="10"/>
      <c r="K337" s="5"/>
      <c r="L337" s="5"/>
      <c r="M337" s="5"/>
      <c r="N337" s="5"/>
      <c r="O337" s="5"/>
      <c r="P337" s="5"/>
      <c r="Q337" s="6" t="s">
        <v>63</v>
      </c>
      <c r="R337" s="5"/>
      <c r="S337" s="6" t="s">
        <v>998</v>
      </c>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row>
    <row r="338" ht="15.75" customHeight="1">
      <c r="A338" s="5"/>
      <c r="B338" s="5"/>
      <c r="C338" s="5"/>
      <c r="D338" s="5"/>
      <c r="E338" s="5"/>
      <c r="F338" s="5"/>
      <c r="G338" s="5"/>
      <c r="H338" s="5"/>
      <c r="I338" s="10"/>
      <c r="J338" s="10"/>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row>
    <row r="339" ht="15.75" customHeight="1">
      <c r="A339" s="5"/>
      <c r="B339" s="5"/>
      <c r="C339" s="5"/>
      <c r="D339" s="5"/>
      <c r="E339" s="5"/>
      <c r="F339" s="5"/>
      <c r="G339" s="5"/>
      <c r="H339" s="5"/>
      <c r="I339" s="10"/>
      <c r="J339" s="10"/>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row>
    <row r="340" ht="15.75" customHeight="1">
      <c r="A340" s="5"/>
      <c r="B340" s="5"/>
      <c r="C340" s="5"/>
      <c r="D340" s="5"/>
      <c r="E340" s="5"/>
      <c r="F340" s="5"/>
      <c r="G340" s="5"/>
      <c r="H340" s="5"/>
      <c r="I340" s="10"/>
      <c r="J340" s="10"/>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row>
    <row r="341" ht="15.75" customHeight="1">
      <c r="A341" s="5"/>
      <c r="B341" s="5"/>
      <c r="C341" s="5"/>
      <c r="D341" s="5"/>
      <c r="E341" s="5"/>
      <c r="F341" s="5"/>
      <c r="G341" s="5"/>
      <c r="H341" s="5"/>
      <c r="I341" s="10"/>
      <c r="J341" s="10"/>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row>
    <row r="342" ht="15.75" customHeight="1">
      <c r="A342" s="5"/>
      <c r="B342" s="5"/>
      <c r="C342" s="5"/>
      <c r="D342" s="5"/>
      <c r="E342" s="5"/>
      <c r="F342" s="5"/>
      <c r="G342" s="5"/>
      <c r="H342" s="5"/>
      <c r="I342" s="10"/>
      <c r="J342" s="10"/>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row>
    <row r="343" ht="15.75" customHeight="1">
      <c r="A343" s="5"/>
      <c r="B343" s="5"/>
      <c r="C343" s="5"/>
      <c r="D343" s="5"/>
      <c r="E343" s="5"/>
      <c r="F343" s="5"/>
      <c r="G343" s="5"/>
      <c r="H343" s="5"/>
      <c r="I343" s="10"/>
      <c r="J343" s="10"/>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row>
    <row r="344" ht="15.75" customHeight="1">
      <c r="A344" s="5"/>
      <c r="B344" s="5"/>
      <c r="C344" s="5"/>
      <c r="D344" s="5"/>
      <c r="E344" s="5"/>
      <c r="F344" s="5"/>
      <c r="G344" s="5"/>
      <c r="H344" s="5"/>
      <c r="I344" s="10"/>
      <c r="J344" s="10"/>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row>
    <row r="345" ht="15.75" customHeight="1">
      <c r="A345" s="5"/>
      <c r="B345" s="5"/>
      <c r="C345" s="5"/>
      <c r="D345" s="5"/>
      <c r="E345" s="5"/>
      <c r="F345" s="5"/>
      <c r="G345" s="5"/>
      <c r="H345" s="5"/>
      <c r="I345" s="10"/>
      <c r="J345" s="10"/>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row>
    <row r="346" ht="15.75" customHeight="1">
      <c r="A346" s="5"/>
      <c r="B346" s="5"/>
      <c r="C346" s="5"/>
      <c r="D346" s="5"/>
      <c r="E346" s="5"/>
      <c r="F346" s="5"/>
      <c r="G346" s="5"/>
      <c r="H346" s="5"/>
      <c r="I346" s="10"/>
      <c r="J346" s="10"/>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row>
    <row r="347" ht="15.75" customHeight="1">
      <c r="A347" s="5"/>
      <c r="B347" s="5"/>
      <c r="C347" s="5"/>
      <c r="D347" s="5"/>
      <c r="E347" s="5"/>
      <c r="F347" s="5"/>
      <c r="G347" s="5"/>
      <c r="H347" s="5"/>
      <c r="I347" s="10"/>
      <c r="J347" s="10"/>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row>
    <row r="348" ht="15.75" customHeight="1">
      <c r="A348" s="5"/>
      <c r="B348" s="5"/>
      <c r="C348" s="5"/>
      <c r="D348" s="5"/>
      <c r="E348" s="5"/>
      <c r="F348" s="5"/>
      <c r="G348" s="5"/>
      <c r="H348" s="5"/>
      <c r="I348" s="10"/>
      <c r="J348" s="10"/>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row>
    <row r="349" ht="15.75" customHeight="1">
      <c r="A349" s="5"/>
      <c r="B349" s="5"/>
      <c r="C349" s="5"/>
      <c r="D349" s="5"/>
      <c r="E349" s="5"/>
      <c r="F349" s="5"/>
      <c r="G349" s="5"/>
      <c r="H349" s="5"/>
      <c r="I349" s="10"/>
      <c r="J349" s="10"/>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row>
    <row r="350" ht="15.75" customHeight="1">
      <c r="A350" s="5"/>
      <c r="B350" s="5"/>
      <c r="C350" s="5"/>
      <c r="D350" s="5"/>
      <c r="E350" s="5"/>
      <c r="F350" s="5"/>
      <c r="G350" s="5"/>
      <c r="H350" s="5"/>
      <c r="I350" s="10"/>
      <c r="J350" s="10"/>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row>
    <row r="351" ht="15.75" customHeight="1">
      <c r="A351" s="5"/>
      <c r="B351" s="5"/>
      <c r="C351" s="5"/>
      <c r="D351" s="5"/>
      <c r="E351" s="5"/>
      <c r="F351" s="5"/>
      <c r="G351" s="5"/>
      <c r="H351" s="5"/>
      <c r="I351" s="10"/>
      <c r="J351" s="10"/>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row>
    <row r="352" ht="15.75" customHeight="1">
      <c r="A352" s="5"/>
      <c r="B352" s="5"/>
      <c r="C352" s="5"/>
      <c r="D352" s="5"/>
      <c r="E352" s="5"/>
      <c r="F352" s="5"/>
      <c r="G352" s="5"/>
      <c r="H352" s="5"/>
      <c r="I352" s="10"/>
      <c r="J352" s="10"/>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row>
    <row r="353" ht="15.75" customHeight="1">
      <c r="A353" s="5"/>
      <c r="B353" s="5"/>
      <c r="C353" s="5"/>
      <c r="D353" s="5"/>
      <c r="E353" s="5"/>
      <c r="F353" s="5"/>
      <c r="G353" s="5"/>
      <c r="H353" s="5"/>
      <c r="I353" s="10"/>
      <c r="J353" s="10"/>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row>
    <row r="354" ht="15.75" customHeight="1">
      <c r="A354" s="5"/>
      <c r="B354" s="5"/>
      <c r="C354" s="5"/>
      <c r="D354" s="5"/>
      <c r="E354" s="5"/>
      <c r="F354" s="5"/>
      <c r="G354" s="5"/>
      <c r="H354" s="5"/>
      <c r="I354" s="10"/>
      <c r="J354" s="10"/>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row>
    <row r="355" ht="15.75" customHeight="1">
      <c r="A355" s="5"/>
      <c r="B355" s="5"/>
      <c r="C355" s="5"/>
      <c r="D355" s="5"/>
      <c r="E355" s="5"/>
      <c r="F355" s="5"/>
      <c r="G355" s="5"/>
      <c r="H355" s="5"/>
      <c r="I355" s="10"/>
      <c r="J355" s="10"/>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row>
    <row r="356" ht="15.75" customHeight="1">
      <c r="A356" s="5"/>
      <c r="B356" s="5"/>
      <c r="C356" s="5"/>
      <c r="D356" s="5"/>
      <c r="E356" s="5"/>
      <c r="F356" s="5"/>
      <c r="G356" s="5"/>
      <c r="H356" s="5"/>
      <c r="I356" s="10"/>
      <c r="J356" s="10"/>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row>
    <row r="357" ht="15.75" customHeight="1">
      <c r="A357" s="5"/>
      <c r="B357" s="5"/>
      <c r="C357" s="5"/>
      <c r="D357" s="5"/>
      <c r="E357" s="5"/>
      <c r="F357" s="5"/>
      <c r="G357" s="5"/>
      <c r="H357" s="5"/>
      <c r="I357" s="10"/>
      <c r="J357" s="10"/>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row>
    <row r="358" ht="15.75" customHeight="1">
      <c r="A358" s="5"/>
      <c r="B358" s="5"/>
      <c r="C358" s="5"/>
      <c r="D358" s="5"/>
      <c r="E358" s="5"/>
      <c r="F358" s="5"/>
      <c r="G358" s="5"/>
      <c r="H358" s="5"/>
      <c r="I358" s="10"/>
      <c r="J358" s="10"/>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row>
    <row r="359" ht="15.75" customHeight="1">
      <c r="A359" s="5"/>
      <c r="B359" s="5"/>
      <c r="C359" s="5"/>
      <c r="D359" s="5"/>
      <c r="E359" s="5"/>
      <c r="F359" s="5"/>
      <c r="G359" s="5"/>
      <c r="H359" s="5"/>
      <c r="I359" s="10"/>
      <c r="J359" s="10"/>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row>
    <row r="360" ht="15.75" customHeight="1">
      <c r="A360" s="5"/>
      <c r="B360" s="5"/>
      <c r="C360" s="5"/>
      <c r="D360" s="5"/>
      <c r="E360" s="5"/>
      <c r="F360" s="5"/>
      <c r="G360" s="5"/>
      <c r="H360" s="5"/>
      <c r="I360" s="10"/>
      <c r="J360" s="10"/>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row>
    <row r="361" ht="15.75" customHeight="1">
      <c r="A361" s="5"/>
      <c r="B361" s="5"/>
      <c r="C361" s="5"/>
      <c r="D361" s="5"/>
      <c r="E361" s="5"/>
      <c r="F361" s="5"/>
      <c r="G361" s="5"/>
      <c r="H361" s="5"/>
      <c r="I361" s="10"/>
      <c r="J361" s="10"/>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row>
    <row r="362" ht="15.75" customHeight="1">
      <c r="A362" s="5"/>
      <c r="B362" s="5"/>
      <c r="C362" s="5"/>
      <c r="D362" s="5"/>
      <c r="E362" s="5"/>
      <c r="F362" s="5"/>
      <c r="G362" s="5"/>
      <c r="H362" s="5"/>
      <c r="I362" s="10"/>
      <c r="J362" s="10"/>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row>
    <row r="363" ht="15.75" customHeight="1">
      <c r="A363" s="5"/>
      <c r="B363" s="5"/>
      <c r="C363" s="5"/>
      <c r="D363" s="5"/>
      <c r="E363" s="5"/>
      <c r="F363" s="5"/>
      <c r="G363" s="5"/>
      <c r="H363" s="5"/>
      <c r="I363" s="10"/>
      <c r="J363" s="10"/>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row>
    <row r="364" ht="15.75" customHeight="1">
      <c r="A364" s="5"/>
      <c r="B364" s="5"/>
      <c r="C364" s="5"/>
      <c r="D364" s="5"/>
      <c r="E364" s="5"/>
      <c r="F364" s="5"/>
      <c r="G364" s="5"/>
      <c r="H364" s="5"/>
      <c r="I364" s="10"/>
      <c r="J364" s="10"/>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row>
    <row r="365" ht="15.75" customHeight="1">
      <c r="A365" s="5"/>
      <c r="B365" s="5"/>
      <c r="C365" s="5"/>
      <c r="D365" s="5"/>
      <c r="E365" s="5"/>
      <c r="F365" s="5"/>
      <c r="G365" s="5"/>
      <c r="H365" s="5"/>
      <c r="I365" s="10"/>
      <c r="J365" s="10"/>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row>
    <row r="366" ht="15.75" customHeight="1">
      <c r="A366" s="5"/>
      <c r="B366" s="5"/>
      <c r="C366" s="5"/>
      <c r="D366" s="5"/>
      <c r="E366" s="5"/>
      <c r="F366" s="5"/>
      <c r="G366" s="5"/>
      <c r="H366" s="5"/>
      <c r="I366" s="10"/>
      <c r="J366" s="10"/>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row>
    <row r="367" ht="15.75" customHeight="1">
      <c r="A367" s="5"/>
      <c r="B367" s="5"/>
      <c r="C367" s="5"/>
      <c r="D367" s="5"/>
      <c r="E367" s="5"/>
      <c r="F367" s="5"/>
      <c r="G367" s="5"/>
      <c r="H367" s="5"/>
      <c r="I367" s="10"/>
      <c r="J367" s="10"/>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row>
    <row r="368" ht="15.75" customHeight="1">
      <c r="A368" s="5"/>
      <c r="B368" s="5"/>
      <c r="C368" s="5"/>
      <c r="D368" s="5"/>
      <c r="E368" s="5"/>
      <c r="F368" s="5"/>
      <c r="G368" s="5"/>
      <c r="H368" s="5"/>
      <c r="I368" s="10"/>
      <c r="J368" s="10"/>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row>
    <row r="369" ht="15.75" customHeight="1">
      <c r="A369" s="5"/>
      <c r="B369" s="5"/>
      <c r="C369" s="5"/>
      <c r="D369" s="5"/>
      <c r="E369" s="5"/>
      <c r="F369" s="5"/>
      <c r="G369" s="5"/>
      <c r="H369" s="5"/>
      <c r="I369" s="10"/>
      <c r="J369" s="10"/>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row>
    <row r="370" ht="15.75" customHeight="1">
      <c r="A370" s="5"/>
      <c r="B370" s="5"/>
      <c r="C370" s="5"/>
      <c r="D370" s="5"/>
      <c r="E370" s="5"/>
      <c r="F370" s="5"/>
      <c r="G370" s="5"/>
      <c r="H370" s="5"/>
      <c r="I370" s="10"/>
      <c r="J370" s="10"/>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row>
    <row r="371" ht="15.75" customHeight="1">
      <c r="A371" s="5"/>
      <c r="B371" s="5"/>
      <c r="C371" s="5"/>
      <c r="D371" s="5"/>
      <c r="E371" s="5"/>
      <c r="F371" s="5"/>
      <c r="G371" s="5"/>
      <c r="H371" s="5"/>
      <c r="I371" s="10"/>
      <c r="J371" s="10"/>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row>
    <row r="372" ht="15.75" customHeight="1">
      <c r="A372" s="5"/>
      <c r="B372" s="5"/>
      <c r="C372" s="5"/>
      <c r="D372" s="5"/>
      <c r="E372" s="5"/>
      <c r="F372" s="5"/>
      <c r="G372" s="5"/>
      <c r="H372" s="5"/>
      <c r="I372" s="10"/>
      <c r="J372" s="10"/>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row>
    <row r="373" ht="15.75" customHeight="1">
      <c r="A373" s="5"/>
      <c r="B373" s="5"/>
      <c r="C373" s="5"/>
      <c r="D373" s="5"/>
      <c r="E373" s="5"/>
      <c r="F373" s="5"/>
      <c r="G373" s="5"/>
      <c r="H373" s="5"/>
      <c r="I373" s="10"/>
      <c r="J373" s="10"/>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row>
    <row r="374" ht="15.75" customHeight="1">
      <c r="A374" s="5"/>
      <c r="B374" s="5"/>
      <c r="C374" s="5"/>
      <c r="D374" s="5"/>
      <c r="E374" s="5"/>
      <c r="F374" s="5"/>
      <c r="G374" s="5"/>
      <c r="H374" s="5"/>
      <c r="I374" s="10"/>
      <c r="J374" s="10"/>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row>
    <row r="375" ht="15.75" customHeight="1">
      <c r="A375" s="5"/>
      <c r="B375" s="5"/>
      <c r="C375" s="5"/>
      <c r="D375" s="5"/>
      <c r="E375" s="5"/>
      <c r="F375" s="5"/>
      <c r="G375" s="5"/>
      <c r="H375" s="5"/>
      <c r="I375" s="10"/>
      <c r="J375" s="10"/>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row>
    <row r="376" ht="15.75" customHeight="1">
      <c r="A376" s="5"/>
      <c r="B376" s="5"/>
      <c r="C376" s="5"/>
      <c r="D376" s="5"/>
      <c r="E376" s="5"/>
      <c r="F376" s="5"/>
      <c r="G376" s="5"/>
      <c r="H376" s="5"/>
      <c r="I376" s="10"/>
      <c r="J376" s="10"/>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row>
    <row r="377" ht="15.75" customHeight="1">
      <c r="A377" s="5"/>
      <c r="B377" s="5"/>
      <c r="C377" s="5"/>
      <c r="D377" s="5"/>
      <c r="E377" s="5"/>
      <c r="F377" s="5"/>
      <c r="G377" s="5"/>
      <c r="H377" s="5"/>
      <c r="I377" s="10"/>
      <c r="J377" s="10"/>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row>
    <row r="378" ht="15.75" customHeight="1">
      <c r="A378" s="5"/>
      <c r="B378" s="5"/>
      <c r="C378" s="5"/>
      <c r="D378" s="5"/>
      <c r="E378" s="5"/>
      <c r="F378" s="5"/>
      <c r="G378" s="5"/>
      <c r="H378" s="5"/>
      <c r="I378" s="10"/>
      <c r="J378" s="10"/>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row>
    <row r="379" ht="15.75" customHeight="1">
      <c r="A379" s="5"/>
      <c r="B379" s="5"/>
      <c r="C379" s="5"/>
      <c r="D379" s="5"/>
      <c r="E379" s="5"/>
      <c r="F379" s="5"/>
      <c r="G379" s="5"/>
      <c r="H379" s="5"/>
      <c r="I379" s="10"/>
      <c r="J379" s="10"/>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row>
    <row r="380" ht="15.75" customHeight="1">
      <c r="A380" s="5"/>
      <c r="B380" s="5"/>
      <c r="C380" s="5"/>
      <c r="D380" s="5"/>
      <c r="E380" s="5"/>
      <c r="F380" s="5"/>
      <c r="G380" s="5"/>
      <c r="H380" s="5"/>
      <c r="I380" s="10"/>
      <c r="J380" s="10"/>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row>
    <row r="381" ht="15.75" customHeight="1">
      <c r="A381" s="5"/>
      <c r="B381" s="5"/>
      <c r="C381" s="5"/>
      <c r="D381" s="5"/>
      <c r="E381" s="5"/>
      <c r="F381" s="5"/>
      <c r="G381" s="5"/>
      <c r="H381" s="5"/>
      <c r="I381" s="10"/>
      <c r="J381" s="10"/>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row>
    <row r="382" ht="15.75" customHeight="1">
      <c r="A382" s="5"/>
      <c r="B382" s="5"/>
      <c r="C382" s="5"/>
      <c r="D382" s="5"/>
      <c r="E382" s="5"/>
      <c r="F382" s="5"/>
      <c r="G382" s="5"/>
      <c r="H382" s="5"/>
      <c r="I382" s="10"/>
      <c r="J382" s="10"/>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row>
    <row r="383" ht="15.75" customHeight="1">
      <c r="A383" s="5"/>
      <c r="B383" s="5"/>
      <c r="C383" s="5"/>
      <c r="D383" s="5"/>
      <c r="E383" s="5"/>
      <c r="F383" s="5"/>
      <c r="G383" s="5"/>
      <c r="H383" s="5"/>
      <c r="I383" s="10"/>
      <c r="J383" s="10"/>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row>
    <row r="384" ht="15.75" customHeight="1">
      <c r="A384" s="5"/>
      <c r="B384" s="5"/>
      <c r="C384" s="5"/>
      <c r="D384" s="5"/>
      <c r="E384" s="5"/>
      <c r="F384" s="5"/>
      <c r="G384" s="5"/>
      <c r="H384" s="5"/>
      <c r="I384" s="10"/>
      <c r="J384" s="10"/>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row>
    <row r="385" ht="15.75" customHeight="1">
      <c r="A385" s="5"/>
      <c r="B385" s="5"/>
      <c r="C385" s="5"/>
      <c r="D385" s="5"/>
      <c r="E385" s="5"/>
      <c r="F385" s="5"/>
      <c r="G385" s="5"/>
      <c r="H385" s="5"/>
      <c r="I385" s="10"/>
      <c r="J385" s="10"/>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row>
    <row r="386" ht="15.75" customHeight="1">
      <c r="A386" s="5"/>
      <c r="B386" s="5"/>
      <c r="C386" s="5"/>
      <c r="D386" s="5"/>
      <c r="E386" s="5"/>
      <c r="F386" s="5"/>
      <c r="G386" s="5"/>
      <c r="H386" s="5"/>
      <c r="I386" s="10"/>
      <c r="J386" s="10"/>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row>
    <row r="387" ht="15.75" customHeight="1">
      <c r="A387" s="5"/>
      <c r="B387" s="5"/>
      <c r="C387" s="5"/>
      <c r="D387" s="5"/>
      <c r="E387" s="5"/>
      <c r="F387" s="5"/>
      <c r="G387" s="5"/>
      <c r="H387" s="5"/>
      <c r="I387" s="10"/>
      <c r="J387" s="10"/>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row>
    <row r="388" ht="15.75" customHeight="1">
      <c r="A388" s="5"/>
      <c r="B388" s="5"/>
      <c r="C388" s="5"/>
      <c r="D388" s="5"/>
      <c r="E388" s="5"/>
      <c r="F388" s="5"/>
      <c r="G388" s="5"/>
      <c r="H388" s="5"/>
      <c r="I388" s="10"/>
      <c r="J388" s="10"/>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row>
    <row r="389" ht="15.75" customHeight="1">
      <c r="A389" s="5"/>
      <c r="B389" s="5"/>
      <c r="C389" s="5"/>
      <c r="D389" s="5"/>
      <c r="E389" s="5"/>
      <c r="F389" s="5"/>
      <c r="G389" s="5"/>
      <c r="H389" s="5"/>
      <c r="I389" s="10"/>
      <c r="J389" s="10"/>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row>
    <row r="390" ht="15.75" customHeight="1">
      <c r="A390" s="5"/>
      <c r="B390" s="5"/>
      <c r="C390" s="5"/>
      <c r="D390" s="5"/>
      <c r="E390" s="5"/>
      <c r="F390" s="5"/>
      <c r="G390" s="5"/>
      <c r="H390" s="5"/>
      <c r="I390" s="10"/>
      <c r="J390" s="10"/>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row>
    <row r="391" ht="15.75" customHeight="1">
      <c r="A391" s="5"/>
      <c r="B391" s="5"/>
      <c r="C391" s="5"/>
      <c r="D391" s="5"/>
      <c r="E391" s="5"/>
      <c r="F391" s="5"/>
      <c r="G391" s="5"/>
      <c r="H391" s="5"/>
      <c r="I391" s="10"/>
      <c r="J391" s="10"/>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row>
    <row r="392" ht="15.75" customHeight="1">
      <c r="A392" s="5"/>
      <c r="B392" s="5"/>
      <c r="C392" s="5"/>
      <c r="D392" s="5"/>
      <c r="E392" s="5"/>
      <c r="F392" s="5"/>
      <c r="G392" s="5"/>
      <c r="H392" s="5"/>
      <c r="I392" s="10"/>
      <c r="J392" s="10"/>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row>
    <row r="393" ht="15.75" customHeight="1">
      <c r="A393" s="5"/>
      <c r="B393" s="5"/>
      <c r="C393" s="5"/>
      <c r="D393" s="5"/>
      <c r="E393" s="5"/>
      <c r="F393" s="5"/>
      <c r="G393" s="5"/>
      <c r="H393" s="5"/>
      <c r="I393" s="10"/>
      <c r="J393" s="10"/>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row>
    <row r="394" ht="15.75" customHeight="1">
      <c r="A394" s="5"/>
      <c r="B394" s="5"/>
      <c r="C394" s="5"/>
      <c r="D394" s="5"/>
      <c r="E394" s="5"/>
      <c r="F394" s="5"/>
      <c r="G394" s="5"/>
      <c r="H394" s="5"/>
      <c r="I394" s="10"/>
      <c r="J394" s="10"/>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row>
    <row r="395" ht="15.75" customHeight="1">
      <c r="A395" s="5"/>
      <c r="B395" s="5"/>
      <c r="C395" s="5"/>
      <c r="D395" s="5"/>
      <c r="E395" s="5"/>
      <c r="F395" s="5"/>
      <c r="G395" s="5"/>
      <c r="H395" s="5"/>
      <c r="I395" s="10"/>
      <c r="J395" s="10"/>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row>
    <row r="396" ht="15.75" customHeight="1">
      <c r="A396" s="5"/>
      <c r="B396" s="5"/>
      <c r="C396" s="5"/>
      <c r="D396" s="5"/>
      <c r="E396" s="5"/>
      <c r="F396" s="5"/>
      <c r="G396" s="5"/>
      <c r="H396" s="5"/>
      <c r="I396" s="10"/>
      <c r="J396" s="10"/>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row>
    <row r="397" ht="15.75" customHeight="1">
      <c r="A397" s="5"/>
      <c r="B397" s="5"/>
      <c r="C397" s="5"/>
      <c r="D397" s="5"/>
      <c r="E397" s="5"/>
      <c r="F397" s="5"/>
      <c r="G397" s="5"/>
      <c r="H397" s="5"/>
      <c r="I397" s="10"/>
      <c r="J397" s="10"/>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row>
    <row r="398" ht="15.75" customHeight="1">
      <c r="A398" s="5"/>
      <c r="B398" s="5"/>
      <c r="C398" s="5"/>
      <c r="D398" s="5"/>
      <c r="E398" s="5"/>
      <c r="F398" s="5"/>
      <c r="G398" s="5"/>
      <c r="H398" s="5"/>
      <c r="I398" s="10"/>
      <c r="J398" s="10"/>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row>
    <row r="399" ht="15.75" customHeight="1">
      <c r="A399" s="5"/>
      <c r="B399" s="5"/>
      <c r="C399" s="5"/>
      <c r="D399" s="5"/>
      <c r="E399" s="5"/>
      <c r="F399" s="5"/>
      <c r="G399" s="5"/>
      <c r="H399" s="5"/>
      <c r="I399" s="10"/>
      <c r="J399" s="10"/>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row>
    <row r="400" ht="15.75" customHeight="1">
      <c r="A400" s="5"/>
      <c r="B400" s="5"/>
      <c r="C400" s="5"/>
      <c r="D400" s="5"/>
      <c r="E400" s="5"/>
      <c r="F400" s="5"/>
      <c r="G400" s="5"/>
      <c r="H400" s="5"/>
      <c r="I400" s="10"/>
      <c r="J400" s="10"/>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row>
    <row r="401" ht="15.75" customHeight="1">
      <c r="A401" s="5"/>
      <c r="B401" s="5"/>
      <c r="C401" s="5"/>
      <c r="D401" s="5"/>
      <c r="E401" s="5"/>
      <c r="F401" s="5"/>
      <c r="G401" s="5"/>
      <c r="H401" s="5"/>
      <c r="I401" s="10"/>
      <c r="J401" s="10"/>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row>
    <row r="402" ht="15.75" customHeight="1">
      <c r="A402" s="5"/>
      <c r="B402" s="5"/>
      <c r="C402" s="5"/>
      <c r="D402" s="5"/>
      <c r="E402" s="5"/>
      <c r="F402" s="5"/>
      <c r="G402" s="5"/>
      <c r="H402" s="5"/>
      <c r="I402" s="10"/>
      <c r="J402" s="10"/>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row>
    <row r="403" ht="15.75" customHeight="1">
      <c r="A403" s="5"/>
      <c r="B403" s="5"/>
      <c r="C403" s="5"/>
      <c r="D403" s="5"/>
      <c r="E403" s="5"/>
      <c r="F403" s="5"/>
      <c r="G403" s="5"/>
      <c r="H403" s="5"/>
      <c r="I403" s="10"/>
      <c r="J403" s="10"/>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row>
    <row r="404" ht="15.75" customHeight="1">
      <c r="A404" s="5"/>
      <c r="B404" s="5"/>
      <c r="C404" s="5"/>
      <c r="D404" s="5"/>
      <c r="E404" s="5"/>
      <c r="F404" s="5"/>
      <c r="G404" s="5"/>
      <c r="H404" s="5"/>
      <c r="I404" s="10"/>
      <c r="J404" s="10"/>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row>
    <row r="405" ht="15.75" customHeight="1">
      <c r="A405" s="5"/>
      <c r="B405" s="5"/>
      <c r="C405" s="5"/>
      <c r="D405" s="5"/>
      <c r="E405" s="5"/>
      <c r="F405" s="5"/>
      <c r="G405" s="5"/>
      <c r="H405" s="5"/>
      <c r="I405" s="10"/>
      <c r="J405" s="10"/>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row>
    <row r="406" ht="15.75" customHeight="1">
      <c r="A406" s="5"/>
      <c r="B406" s="5"/>
      <c r="C406" s="5"/>
      <c r="D406" s="5"/>
      <c r="E406" s="5"/>
      <c r="F406" s="5"/>
      <c r="G406" s="5"/>
      <c r="H406" s="5"/>
      <c r="I406" s="10"/>
      <c r="J406" s="10"/>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row>
    <row r="407" ht="15.75" customHeight="1">
      <c r="A407" s="5"/>
      <c r="B407" s="5"/>
      <c r="C407" s="5"/>
      <c r="D407" s="5"/>
      <c r="E407" s="5"/>
      <c r="F407" s="5"/>
      <c r="G407" s="5"/>
      <c r="H407" s="5"/>
      <c r="I407" s="10"/>
      <c r="J407" s="10"/>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row>
    <row r="408" ht="15.75" customHeight="1">
      <c r="A408" s="5"/>
      <c r="B408" s="5"/>
      <c r="C408" s="5"/>
      <c r="D408" s="5"/>
      <c r="E408" s="5"/>
      <c r="F408" s="5"/>
      <c r="G408" s="5"/>
      <c r="H408" s="5"/>
      <c r="I408" s="10"/>
      <c r="J408" s="10"/>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row>
    <row r="409" ht="15.75" customHeight="1">
      <c r="A409" s="5"/>
      <c r="B409" s="5"/>
      <c r="C409" s="5"/>
      <c r="D409" s="5"/>
      <c r="E409" s="5"/>
      <c r="F409" s="5"/>
      <c r="G409" s="5"/>
      <c r="H409" s="5"/>
      <c r="I409" s="10"/>
      <c r="J409" s="10"/>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row>
    <row r="410" ht="15.75" customHeight="1">
      <c r="A410" s="5"/>
      <c r="B410" s="5"/>
      <c r="C410" s="5"/>
      <c r="D410" s="5"/>
      <c r="E410" s="5"/>
      <c r="F410" s="5"/>
      <c r="G410" s="5"/>
      <c r="H410" s="5"/>
      <c r="I410" s="10"/>
      <c r="J410" s="10"/>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row>
    <row r="411" ht="15.75" customHeight="1">
      <c r="A411" s="5"/>
      <c r="B411" s="5"/>
      <c r="C411" s="5"/>
      <c r="D411" s="5"/>
      <c r="E411" s="5"/>
      <c r="F411" s="5"/>
      <c r="G411" s="5"/>
      <c r="H411" s="5"/>
      <c r="I411" s="10"/>
      <c r="J411" s="10"/>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row>
    <row r="412" ht="15.75" customHeight="1">
      <c r="A412" s="5"/>
      <c r="B412" s="5"/>
      <c r="C412" s="5"/>
      <c r="D412" s="5"/>
      <c r="E412" s="5"/>
      <c r="F412" s="5"/>
      <c r="G412" s="5"/>
      <c r="H412" s="5"/>
      <c r="I412" s="10"/>
      <c r="J412" s="10"/>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row>
    <row r="413" ht="15.75" customHeight="1">
      <c r="A413" s="5"/>
      <c r="B413" s="5"/>
      <c r="C413" s="5"/>
      <c r="D413" s="5"/>
      <c r="E413" s="5"/>
      <c r="F413" s="5"/>
      <c r="G413" s="5"/>
      <c r="H413" s="5"/>
      <c r="I413" s="10"/>
      <c r="J413" s="10"/>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row>
    <row r="414" ht="15.75" customHeight="1">
      <c r="A414" s="5"/>
      <c r="B414" s="5"/>
      <c r="C414" s="5"/>
      <c r="D414" s="5"/>
      <c r="E414" s="5"/>
      <c r="F414" s="5"/>
      <c r="G414" s="5"/>
      <c r="H414" s="5"/>
      <c r="I414" s="10"/>
      <c r="J414" s="10"/>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row>
    <row r="415" ht="15.75" customHeight="1">
      <c r="A415" s="5"/>
      <c r="B415" s="5"/>
      <c r="C415" s="5"/>
      <c r="D415" s="5"/>
      <c r="E415" s="5"/>
      <c r="F415" s="5"/>
      <c r="G415" s="5"/>
      <c r="H415" s="5"/>
      <c r="I415" s="10"/>
      <c r="J415" s="10"/>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row>
    <row r="416" ht="15.75" customHeight="1">
      <c r="A416" s="5"/>
      <c r="B416" s="5"/>
      <c r="C416" s="5"/>
      <c r="D416" s="5"/>
      <c r="E416" s="5"/>
      <c r="F416" s="5"/>
      <c r="G416" s="5"/>
      <c r="H416" s="5"/>
      <c r="I416" s="10"/>
      <c r="J416" s="10"/>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row>
    <row r="417" ht="15.75" customHeight="1">
      <c r="A417" s="5"/>
      <c r="B417" s="5"/>
      <c r="C417" s="5"/>
      <c r="D417" s="5"/>
      <c r="E417" s="5"/>
      <c r="F417" s="5"/>
      <c r="G417" s="5"/>
      <c r="H417" s="5"/>
      <c r="I417" s="10"/>
      <c r="J417" s="10"/>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row>
    <row r="418" ht="15.75" customHeight="1">
      <c r="A418" s="5"/>
      <c r="B418" s="5"/>
      <c r="C418" s="5"/>
      <c r="D418" s="5"/>
      <c r="E418" s="5"/>
      <c r="F418" s="5"/>
      <c r="G418" s="5"/>
      <c r="H418" s="5"/>
      <c r="I418" s="10"/>
      <c r="J418" s="10"/>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row>
    <row r="419" ht="15.75" customHeight="1">
      <c r="A419" s="5"/>
      <c r="B419" s="5"/>
      <c r="C419" s="5"/>
      <c r="D419" s="5"/>
      <c r="E419" s="5"/>
      <c r="F419" s="5"/>
      <c r="G419" s="5"/>
      <c r="H419" s="5"/>
      <c r="I419" s="10"/>
      <c r="J419" s="10"/>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row>
    <row r="420" ht="15.75" customHeight="1">
      <c r="A420" s="5"/>
      <c r="B420" s="5"/>
      <c r="C420" s="5"/>
      <c r="D420" s="5"/>
      <c r="E420" s="5"/>
      <c r="F420" s="5"/>
      <c r="G420" s="5"/>
      <c r="H420" s="5"/>
      <c r="I420" s="10"/>
      <c r="J420" s="10"/>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row>
    <row r="421" ht="15.75" customHeight="1">
      <c r="A421" s="5"/>
      <c r="B421" s="5"/>
      <c r="C421" s="5"/>
      <c r="D421" s="5"/>
      <c r="E421" s="5"/>
      <c r="F421" s="5"/>
      <c r="G421" s="5"/>
      <c r="H421" s="5"/>
      <c r="I421" s="10"/>
      <c r="J421" s="10"/>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row>
    <row r="422" ht="15.75" customHeight="1">
      <c r="A422" s="5"/>
      <c r="B422" s="5"/>
      <c r="C422" s="5"/>
      <c r="D422" s="5"/>
      <c r="E422" s="5"/>
      <c r="F422" s="5"/>
      <c r="G422" s="5"/>
      <c r="H422" s="5"/>
      <c r="I422" s="10"/>
      <c r="J422" s="10"/>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row>
    <row r="423" ht="15.75" customHeight="1">
      <c r="A423" s="5"/>
      <c r="B423" s="5"/>
      <c r="C423" s="5"/>
      <c r="D423" s="5"/>
      <c r="E423" s="5"/>
      <c r="F423" s="5"/>
      <c r="G423" s="5"/>
      <c r="H423" s="5"/>
      <c r="I423" s="10"/>
      <c r="J423" s="10"/>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row>
    <row r="424" ht="15.75" customHeight="1">
      <c r="A424" s="5"/>
      <c r="B424" s="5"/>
      <c r="C424" s="5"/>
      <c r="D424" s="5"/>
      <c r="E424" s="5"/>
      <c r="F424" s="5"/>
      <c r="G424" s="5"/>
      <c r="H424" s="5"/>
      <c r="I424" s="10"/>
      <c r="J424" s="10"/>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row>
    <row r="425" ht="15.75" customHeight="1">
      <c r="A425" s="5"/>
      <c r="B425" s="5"/>
      <c r="C425" s="5"/>
      <c r="D425" s="5"/>
      <c r="E425" s="5"/>
      <c r="F425" s="5"/>
      <c r="G425" s="5"/>
      <c r="H425" s="5"/>
      <c r="I425" s="10"/>
      <c r="J425" s="10"/>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row>
    <row r="426" ht="15.75" customHeight="1">
      <c r="A426" s="5"/>
      <c r="B426" s="5"/>
      <c r="C426" s="5"/>
      <c r="D426" s="5"/>
      <c r="E426" s="5"/>
      <c r="F426" s="5"/>
      <c r="G426" s="5"/>
      <c r="H426" s="5"/>
      <c r="I426" s="10"/>
      <c r="J426" s="10"/>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row>
    <row r="427" ht="15.75" customHeight="1">
      <c r="A427" s="5"/>
      <c r="B427" s="5"/>
      <c r="C427" s="5"/>
      <c r="D427" s="5"/>
      <c r="E427" s="5"/>
      <c r="F427" s="5"/>
      <c r="G427" s="5"/>
      <c r="H427" s="5"/>
      <c r="I427" s="10"/>
      <c r="J427" s="10"/>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row>
    <row r="428" ht="15.75" customHeight="1">
      <c r="A428" s="5"/>
      <c r="B428" s="5"/>
      <c r="C428" s="5"/>
      <c r="D428" s="5"/>
      <c r="E428" s="5"/>
      <c r="F428" s="5"/>
      <c r="G428" s="5"/>
      <c r="H428" s="5"/>
      <c r="I428" s="10"/>
      <c r="J428" s="10"/>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row>
    <row r="429" ht="15.75" customHeight="1">
      <c r="A429" s="5"/>
      <c r="B429" s="5"/>
      <c r="C429" s="5"/>
      <c r="D429" s="5"/>
      <c r="E429" s="5"/>
      <c r="F429" s="5"/>
      <c r="G429" s="5"/>
      <c r="H429" s="5"/>
      <c r="I429" s="10"/>
      <c r="J429" s="10"/>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row>
    <row r="430" ht="15.75" customHeight="1">
      <c r="A430" s="5"/>
      <c r="B430" s="5"/>
      <c r="C430" s="5"/>
      <c r="D430" s="5"/>
      <c r="E430" s="5"/>
      <c r="F430" s="5"/>
      <c r="G430" s="5"/>
      <c r="H430" s="5"/>
      <c r="I430" s="10"/>
      <c r="J430" s="10"/>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row>
    <row r="431" ht="15.75" customHeight="1">
      <c r="A431" s="5"/>
      <c r="B431" s="5"/>
      <c r="C431" s="5"/>
      <c r="D431" s="5"/>
      <c r="E431" s="5"/>
      <c r="F431" s="5"/>
      <c r="G431" s="5"/>
      <c r="H431" s="5"/>
      <c r="I431" s="10"/>
      <c r="J431" s="10"/>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row>
    <row r="432" ht="15.75" customHeight="1">
      <c r="A432" s="5"/>
      <c r="B432" s="5"/>
      <c r="C432" s="5"/>
      <c r="D432" s="5"/>
      <c r="E432" s="5"/>
      <c r="F432" s="5"/>
      <c r="G432" s="5"/>
      <c r="H432" s="5"/>
      <c r="I432" s="10"/>
      <c r="J432" s="10"/>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row>
    <row r="433" ht="15.75" customHeight="1">
      <c r="A433" s="5"/>
      <c r="B433" s="5"/>
      <c r="C433" s="5"/>
      <c r="D433" s="5"/>
      <c r="E433" s="5"/>
      <c r="F433" s="5"/>
      <c r="G433" s="5"/>
      <c r="H433" s="5"/>
      <c r="I433" s="10"/>
      <c r="J433" s="10"/>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row>
    <row r="434" ht="15.75" customHeight="1">
      <c r="A434" s="5"/>
      <c r="B434" s="5"/>
      <c r="C434" s="5"/>
      <c r="D434" s="5"/>
      <c r="E434" s="5"/>
      <c r="F434" s="5"/>
      <c r="G434" s="5"/>
      <c r="H434" s="5"/>
      <c r="I434" s="10"/>
      <c r="J434" s="10"/>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row>
    <row r="435" ht="15.75" customHeight="1">
      <c r="A435" s="5"/>
      <c r="B435" s="5"/>
      <c r="C435" s="5"/>
      <c r="D435" s="5"/>
      <c r="E435" s="5"/>
      <c r="F435" s="5"/>
      <c r="G435" s="5"/>
      <c r="H435" s="5"/>
      <c r="I435" s="10"/>
      <c r="J435" s="10"/>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row>
    <row r="436" ht="15.75" customHeight="1">
      <c r="A436" s="5"/>
      <c r="B436" s="5"/>
      <c r="C436" s="5"/>
      <c r="D436" s="5"/>
      <c r="E436" s="5"/>
      <c r="F436" s="5"/>
      <c r="G436" s="5"/>
      <c r="H436" s="5"/>
      <c r="I436" s="10"/>
      <c r="J436" s="10"/>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row>
    <row r="437" ht="15.75" customHeight="1">
      <c r="A437" s="5"/>
      <c r="B437" s="5"/>
      <c r="C437" s="5"/>
      <c r="D437" s="5"/>
      <c r="E437" s="5"/>
      <c r="F437" s="5"/>
      <c r="G437" s="5"/>
      <c r="H437" s="5"/>
      <c r="I437" s="10"/>
      <c r="J437" s="10"/>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row>
    <row r="438" ht="15.75" customHeight="1">
      <c r="A438" s="5"/>
      <c r="B438" s="5"/>
      <c r="C438" s="5"/>
      <c r="D438" s="5"/>
      <c r="E438" s="5"/>
      <c r="F438" s="5"/>
      <c r="G438" s="5"/>
      <c r="H438" s="5"/>
      <c r="I438" s="10"/>
      <c r="J438" s="10"/>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row>
    <row r="439" ht="15.75" customHeight="1">
      <c r="A439" s="5"/>
      <c r="B439" s="5"/>
      <c r="C439" s="5"/>
      <c r="D439" s="5"/>
      <c r="E439" s="5"/>
      <c r="F439" s="5"/>
      <c r="G439" s="5"/>
      <c r="H439" s="5"/>
      <c r="I439" s="10"/>
      <c r="J439" s="10"/>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row>
    <row r="440" ht="15.75" customHeight="1">
      <c r="A440" s="5"/>
      <c r="B440" s="5"/>
      <c r="C440" s="5"/>
      <c r="D440" s="5"/>
      <c r="E440" s="5"/>
      <c r="F440" s="5"/>
      <c r="G440" s="5"/>
      <c r="H440" s="5"/>
      <c r="I440" s="10"/>
      <c r="J440" s="10"/>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row>
    <row r="441" ht="15.75" customHeight="1">
      <c r="A441" s="5"/>
      <c r="B441" s="5"/>
      <c r="C441" s="5"/>
      <c r="D441" s="5"/>
      <c r="E441" s="5"/>
      <c r="F441" s="5"/>
      <c r="G441" s="5"/>
      <c r="H441" s="5"/>
      <c r="I441" s="10"/>
      <c r="J441" s="10"/>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row>
    <row r="442" ht="15.75" customHeight="1">
      <c r="A442" s="5"/>
      <c r="B442" s="5"/>
      <c r="C442" s="5"/>
      <c r="D442" s="5"/>
      <c r="E442" s="5"/>
      <c r="F442" s="5"/>
      <c r="G442" s="5"/>
      <c r="H442" s="5"/>
      <c r="I442" s="10"/>
      <c r="J442" s="10"/>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row>
    <row r="443" ht="15.75" customHeight="1">
      <c r="A443" s="5"/>
      <c r="B443" s="5"/>
      <c r="C443" s="5"/>
      <c r="D443" s="5"/>
      <c r="E443" s="5"/>
      <c r="F443" s="5"/>
      <c r="G443" s="5"/>
      <c r="H443" s="5"/>
      <c r="I443" s="10"/>
      <c r="J443" s="10"/>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row>
    <row r="444" ht="15.75" customHeight="1">
      <c r="A444" s="5"/>
      <c r="B444" s="5"/>
      <c r="C444" s="5"/>
      <c r="D444" s="5"/>
      <c r="E444" s="5"/>
      <c r="F444" s="5"/>
      <c r="G444" s="5"/>
      <c r="H444" s="5"/>
      <c r="I444" s="10"/>
      <c r="J444" s="10"/>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row>
    <row r="445" ht="15.75" customHeight="1">
      <c r="A445" s="5"/>
      <c r="B445" s="5"/>
      <c r="C445" s="5"/>
      <c r="D445" s="5"/>
      <c r="E445" s="5"/>
      <c r="F445" s="5"/>
      <c r="G445" s="5"/>
      <c r="H445" s="5"/>
      <c r="I445" s="10"/>
      <c r="J445" s="10"/>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row>
    <row r="446" ht="15.75" customHeight="1">
      <c r="A446" s="5"/>
      <c r="B446" s="5"/>
      <c r="C446" s="5"/>
      <c r="D446" s="5"/>
      <c r="E446" s="5"/>
      <c r="F446" s="5"/>
      <c r="G446" s="5"/>
      <c r="H446" s="5"/>
      <c r="I446" s="10"/>
      <c r="J446" s="10"/>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row>
    <row r="447" ht="15.75" customHeight="1">
      <c r="A447" s="5"/>
      <c r="B447" s="5"/>
      <c r="C447" s="5"/>
      <c r="D447" s="5"/>
      <c r="E447" s="5"/>
      <c r="F447" s="5"/>
      <c r="G447" s="5"/>
      <c r="H447" s="5"/>
      <c r="I447" s="10"/>
      <c r="J447" s="10"/>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row>
    <row r="448" ht="15.75" customHeight="1">
      <c r="A448" s="5"/>
      <c r="B448" s="5"/>
      <c r="C448" s="5"/>
      <c r="D448" s="5"/>
      <c r="E448" s="5"/>
      <c r="F448" s="5"/>
      <c r="G448" s="5"/>
      <c r="H448" s="5"/>
      <c r="I448" s="10"/>
      <c r="J448" s="10"/>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row>
    <row r="449" ht="15.75" customHeight="1">
      <c r="A449" s="5"/>
      <c r="B449" s="5"/>
      <c r="C449" s="5"/>
      <c r="D449" s="5"/>
      <c r="E449" s="5"/>
      <c r="F449" s="5"/>
      <c r="G449" s="5"/>
      <c r="H449" s="5"/>
      <c r="I449" s="10"/>
      <c r="J449" s="10"/>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row>
    <row r="450" ht="15.75" customHeight="1">
      <c r="A450" s="5"/>
      <c r="B450" s="5"/>
      <c r="C450" s="5"/>
      <c r="D450" s="5"/>
      <c r="E450" s="5"/>
      <c r="F450" s="5"/>
      <c r="G450" s="5"/>
      <c r="H450" s="5"/>
      <c r="I450" s="10"/>
      <c r="J450" s="10"/>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row>
    <row r="451" ht="15.75" customHeight="1">
      <c r="A451" s="5"/>
      <c r="B451" s="5"/>
      <c r="C451" s="5"/>
      <c r="D451" s="5"/>
      <c r="E451" s="5"/>
      <c r="F451" s="5"/>
      <c r="G451" s="5"/>
      <c r="H451" s="5"/>
      <c r="I451" s="10"/>
      <c r="J451" s="10"/>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row>
    <row r="452" ht="15.75" customHeight="1">
      <c r="A452" s="5"/>
      <c r="B452" s="5"/>
      <c r="C452" s="5"/>
      <c r="D452" s="5"/>
      <c r="E452" s="5"/>
      <c r="F452" s="5"/>
      <c r="G452" s="5"/>
      <c r="H452" s="5"/>
      <c r="I452" s="10"/>
      <c r="J452" s="10"/>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row>
    <row r="453" ht="15.75" customHeight="1">
      <c r="A453" s="5"/>
      <c r="B453" s="5"/>
      <c r="C453" s="5"/>
      <c r="D453" s="5"/>
      <c r="E453" s="5"/>
      <c r="F453" s="5"/>
      <c r="G453" s="5"/>
      <c r="H453" s="5"/>
      <c r="I453" s="10"/>
      <c r="J453" s="10"/>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row>
    <row r="454" ht="15.75" customHeight="1">
      <c r="A454" s="5"/>
      <c r="B454" s="5"/>
      <c r="C454" s="5"/>
      <c r="D454" s="5"/>
      <c r="E454" s="5"/>
      <c r="F454" s="5"/>
      <c r="G454" s="5"/>
      <c r="H454" s="5"/>
      <c r="I454" s="10"/>
      <c r="J454" s="10"/>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row>
    <row r="455" ht="15.75" customHeight="1">
      <c r="A455" s="5"/>
      <c r="B455" s="5"/>
      <c r="C455" s="5"/>
      <c r="D455" s="5"/>
      <c r="E455" s="5"/>
      <c r="F455" s="5"/>
      <c r="G455" s="5"/>
      <c r="H455" s="5"/>
      <c r="I455" s="10"/>
      <c r="J455" s="10"/>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row>
    <row r="456" ht="15.75" customHeight="1">
      <c r="A456" s="5"/>
      <c r="B456" s="5"/>
      <c r="C456" s="5"/>
      <c r="D456" s="5"/>
      <c r="E456" s="5"/>
      <c r="F456" s="5"/>
      <c r="G456" s="5"/>
      <c r="H456" s="5"/>
      <c r="I456" s="10"/>
      <c r="J456" s="10"/>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row>
    <row r="457" ht="15.75" customHeight="1">
      <c r="A457" s="5"/>
      <c r="B457" s="5"/>
      <c r="C457" s="5"/>
      <c r="D457" s="5"/>
      <c r="E457" s="5"/>
      <c r="F457" s="5"/>
      <c r="G457" s="5"/>
      <c r="H457" s="5"/>
      <c r="I457" s="10"/>
      <c r="J457" s="10"/>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row>
    <row r="458" ht="15.75" customHeight="1">
      <c r="A458" s="5"/>
      <c r="B458" s="5"/>
      <c r="C458" s="5"/>
      <c r="D458" s="5"/>
      <c r="E458" s="5"/>
      <c r="F458" s="5"/>
      <c r="G458" s="5"/>
      <c r="H458" s="5"/>
      <c r="I458" s="10"/>
      <c r="J458" s="10"/>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row>
    <row r="459" ht="15.75" customHeight="1">
      <c r="A459" s="5"/>
      <c r="B459" s="5"/>
      <c r="C459" s="5"/>
      <c r="D459" s="5"/>
      <c r="E459" s="5"/>
      <c r="F459" s="5"/>
      <c r="G459" s="5"/>
      <c r="H459" s="5"/>
      <c r="I459" s="10"/>
      <c r="J459" s="10"/>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row>
    <row r="460" ht="15.75" customHeight="1">
      <c r="A460" s="5"/>
      <c r="B460" s="5"/>
      <c r="C460" s="5"/>
      <c r="D460" s="5"/>
      <c r="E460" s="5"/>
      <c r="F460" s="5"/>
      <c r="G460" s="5"/>
      <c r="H460" s="5"/>
      <c r="I460" s="10"/>
      <c r="J460" s="10"/>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row>
    <row r="461" ht="15.75" customHeight="1">
      <c r="A461" s="5"/>
      <c r="B461" s="5"/>
      <c r="C461" s="5"/>
      <c r="D461" s="5"/>
      <c r="E461" s="5"/>
      <c r="F461" s="5"/>
      <c r="G461" s="5"/>
      <c r="H461" s="5"/>
      <c r="I461" s="10"/>
      <c r="J461" s="10"/>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row>
    <row r="462" ht="15.75" customHeight="1">
      <c r="A462" s="5"/>
      <c r="B462" s="5"/>
      <c r="C462" s="5"/>
      <c r="D462" s="5"/>
      <c r="E462" s="5"/>
      <c r="F462" s="5"/>
      <c r="G462" s="5"/>
      <c r="H462" s="5"/>
      <c r="I462" s="10"/>
      <c r="J462" s="10"/>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row>
    <row r="463" ht="15.75" customHeight="1">
      <c r="A463" s="5"/>
      <c r="B463" s="5"/>
      <c r="C463" s="5"/>
      <c r="D463" s="5"/>
      <c r="E463" s="5"/>
      <c r="F463" s="5"/>
      <c r="G463" s="5"/>
      <c r="H463" s="5"/>
      <c r="I463" s="10"/>
      <c r="J463" s="10"/>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row>
    <row r="464" ht="15.75" customHeight="1">
      <c r="A464" s="5"/>
      <c r="B464" s="5"/>
      <c r="C464" s="5"/>
      <c r="D464" s="5"/>
      <c r="E464" s="5"/>
      <c r="F464" s="5"/>
      <c r="G464" s="5"/>
      <c r="H464" s="5"/>
      <c r="I464" s="10"/>
      <c r="J464" s="10"/>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row>
    <row r="465" ht="15.75" customHeight="1">
      <c r="A465" s="5"/>
      <c r="B465" s="5"/>
      <c r="C465" s="5"/>
      <c r="D465" s="5"/>
      <c r="E465" s="5"/>
      <c r="F465" s="5"/>
      <c r="G465" s="5"/>
      <c r="H465" s="5"/>
      <c r="I465" s="10"/>
      <c r="J465" s="10"/>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row>
    <row r="466" ht="15.75" customHeight="1">
      <c r="A466" s="5"/>
      <c r="B466" s="5"/>
      <c r="C466" s="5"/>
      <c r="D466" s="5"/>
      <c r="E466" s="5"/>
      <c r="F466" s="5"/>
      <c r="G466" s="5"/>
      <c r="H466" s="5"/>
      <c r="I466" s="10"/>
      <c r="J466" s="10"/>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row>
    <row r="467" ht="15.75" customHeight="1">
      <c r="A467" s="5"/>
      <c r="B467" s="5"/>
      <c r="C467" s="5"/>
      <c r="D467" s="5"/>
      <c r="E467" s="5"/>
      <c r="F467" s="5"/>
      <c r="G467" s="5"/>
      <c r="H467" s="5"/>
      <c r="I467" s="10"/>
      <c r="J467" s="10"/>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row>
    <row r="468" ht="15.75" customHeight="1">
      <c r="A468" s="5"/>
      <c r="B468" s="5"/>
      <c r="C468" s="5"/>
      <c r="D468" s="5"/>
      <c r="E468" s="5"/>
      <c r="F468" s="5"/>
      <c r="G468" s="5"/>
      <c r="H468" s="5"/>
      <c r="I468" s="10"/>
      <c r="J468" s="10"/>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row>
    <row r="469" ht="15.75" customHeight="1">
      <c r="A469" s="5"/>
      <c r="B469" s="5"/>
      <c r="C469" s="5"/>
      <c r="D469" s="5"/>
      <c r="E469" s="5"/>
      <c r="F469" s="5"/>
      <c r="G469" s="5"/>
      <c r="H469" s="5"/>
      <c r="I469" s="10"/>
      <c r="J469" s="10"/>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row>
    <row r="470" ht="15.75" customHeight="1">
      <c r="A470" s="5"/>
      <c r="B470" s="5"/>
      <c r="C470" s="5"/>
      <c r="D470" s="5"/>
      <c r="E470" s="5"/>
      <c r="F470" s="5"/>
      <c r="G470" s="5"/>
      <c r="H470" s="5"/>
      <c r="I470" s="10"/>
      <c r="J470" s="10"/>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row>
    <row r="471" ht="15.75" customHeight="1">
      <c r="A471" s="5"/>
      <c r="B471" s="5"/>
      <c r="C471" s="5"/>
      <c r="D471" s="5"/>
      <c r="E471" s="5"/>
      <c r="F471" s="5"/>
      <c r="G471" s="5"/>
      <c r="H471" s="5"/>
      <c r="I471" s="10"/>
      <c r="J471" s="10"/>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row>
    <row r="472" ht="15.75" customHeight="1">
      <c r="A472" s="5"/>
      <c r="B472" s="5"/>
      <c r="C472" s="5"/>
      <c r="D472" s="5"/>
      <c r="E472" s="5"/>
      <c r="F472" s="5"/>
      <c r="G472" s="5"/>
      <c r="H472" s="5"/>
      <c r="I472" s="10"/>
      <c r="J472" s="10"/>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row>
    <row r="473" ht="15.75" customHeight="1">
      <c r="A473" s="5"/>
      <c r="B473" s="5"/>
      <c r="C473" s="5"/>
      <c r="D473" s="5"/>
      <c r="E473" s="5"/>
      <c r="F473" s="5"/>
      <c r="G473" s="5"/>
      <c r="H473" s="5"/>
      <c r="I473" s="10"/>
      <c r="J473" s="10"/>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row>
    <row r="474" ht="15.75" customHeight="1">
      <c r="A474" s="5"/>
      <c r="B474" s="5"/>
      <c r="C474" s="5"/>
      <c r="D474" s="5"/>
      <c r="E474" s="5"/>
      <c r="F474" s="5"/>
      <c r="G474" s="5"/>
      <c r="H474" s="5"/>
      <c r="I474" s="10"/>
      <c r="J474" s="10"/>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row>
    <row r="475" ht="15.75" customHeight="1">
      <c r="A475" s="5"/>
      <c r="B475" s="5"/>
      <c r="C475" s="5"/>
      <c r="D475" s="5"/>
      <c r="E475" s="5"/>
      <c r="F475" s="5"/>
      <c r="G475" s="5"/>
      <c r="H475" s="5"/>
      <c r="I475" s="10"/>
      <c r="J475" s="10"/>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row>
    <row r="476" ht="15.75" customHeight="1">
      <c r="A476" s="5"/>
      <c r="B476" s="5"/>
      <c r="C476" s="5"/>
      <c r="D476" s="5"/>
      <c r="E476" s="5"/>
      <c r="F476" s="5"/>
      <c r="G476" s="5"/>
      <c r="H476" s="5"/>
      <c r="I476" s="10"/>
      <c r="J476" s="10"/>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row>
    <row r="477" ht="15.75" customHeight="1">
      <c r="A477" s="5"/>
      <c r="B477" s="5"/>
      <c r="C477" s="5"/>
      <c r="D477" s="5"/>
      <c r="E477" s="5"/>
      <c r="F477" s="5"/>
      <c r="G477" s="5"/>
      <c r="H477" s="5"/>
      <c r="I477" s="10"/>
      <c r="J477" s="10"/>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row>
    <row r="478" ht="15.75" customHeight="1">
      <c r="A478" s="5"/>
      <c r="B478" s="5"/>
      <c r="C478" s="5"/>
      <c r="D478" s="5"/>
      <c r="E478" s="5"/>
      <c r="F478" s="5"/>
      <c r="G478" s="5"/>
      <c r="H478" s="5"/>
      <c r="I478" s="10"/>
      <c r="J478" s="10"/>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row>
    <row r="479" ht="15.75" customHeight="1">
      <c r="A479" s="5"/>
      <c r="B479" s="5"/>
      <c r="C479" s="5"/>
      <c r="D479" s="5"/>
      <c r="E479" s="5"/>
      <c r="F479" s="5"/>
      <c r="G479" s="5"/>
      <c r="H479" s="5"/>
      <c r="I479" s="10"/>
      <c r="J479" s="10"/>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row>
    <row r="480" ht="15.75" customHeight="1">
      <c r="A480" s="5"/>
      <c r="B480" s="5"/>
      <c r="C480" s="5"/>
      <c r="D480" s="5"/>
      <c r="E480" s="5"/>
      <c r="F480" s="5"/>
      <c r="G480" s="5"/>
      <c r="H480" s="5"/>
      <c r="I480" s="10"/>
      <c r="J480" s="10"/>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row>
    <row r="481" ht="15.75" customHeight="1">
      <c r="A481" s="5"/>
      <c r="B481" s="5"/>
      <c r="C481" s="5"/>
      <c r="D481" s="5"/>
      <c r="E481" s="5"/>
      <c r="F481" s="5"/>
      <c r="G481" s="5"/>
      <c r="H481" s="5"/>
      <c r="I481" s="10"/>
      <c r="J481" s="10"/>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row>
    <row r="482" ht="15.75" customHeight="1">
      <c r="A482" s="5"/>
      <c r="B482" s="5"/>
      <c r="C482" s="5"/>
      <c r="D482" s="5"/>
      <c r="E482" s="5"/>
      <c r="F482" s="5"/>
      <c r="G482" s="5"/>
      <c r="H482" s="5"/>
      <c r="I482" s="10"/>
      <c r="J482" s="10"/>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row>
    <row r="483" ht="15.75" customHeight="1">
      <c r="A483" s="5"/>
      <c r="B483" s="5"/>
      <c r="C483" s="5"/>
      <c r="D483" s="5"/>
      <c r="E483" s="5"/>
      <c r="F483" s="5"/>
      <c r="G483" s="5"/>
      <c r="H483" s="5"/>
      <c r="I483" s="10"/>
      <c r="J483" s="10"/>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row>
    <row r="484" ht="15.75" customHeight="1">
      <c r="A484" s="5"/>
      <c r="B484" s="5"/>
      <c r="C484" s="5"/>
      <c r="D484" s="5"/>
      <c r="E484" s="5"/>
      <c r="F484" s="5"/>
      <c r="G484" s="5"/>
      <c r="H484" s="5"/>
      <c r="I484" s="10"/>
      <c r="J484" s="10"/>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row>
    <row r="485" ht="15.75" customHeight="1">
      <c r="A485" s="5"/>
      <c r="B485" s="5"/>
      <c r="C485" s="5"/>
      <c r="D485" s="5"/>
      <c r="E485" s="5"/>
      <c r="F485" s="5"/>
      <c r="G485" s="5"/>
      <c r="H485" s="5"/>
      <c r="I485" s="10"/>
      <c r="J485" s="10"/>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row>
    <row r="486" ht="15.75" customHeight="1">
      <c r="A486" s="5"/>
      <c r="B486" s="5"/>
      <c r="C486" s="5"/>
      <c r="D486" s="5"/>
      <c r="E486" s="5"/>
      <c r="F486" s="5"/>
      <c r="G486" s="5"/>
      <c r="H486" s="5"/>
      <c r="I486" s="10"/>
      <c r="J486" s="10"/>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row>
    <row r="487" ht="15.75" customHeight="1">
      <c r="A487" s="5"/>
      <c r="B487" s="5"/>
      <c r="C487" s="5"/>
      <c r="D487" s="5"/>
      <c r="E487" s="5"/>
      <c r="F487" s="5"/>
      <c r="G487" s="5"/>
      <c r="H487" s="5"/>
      <c r="I487" s="10"/>
      <c r="J487" s="10"/>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row>
    <row r="488" ht="15.75" customHeight="1">
      <c r="A488" s="5"/>
      <c r="B488" s="5"/>
      <c r="C488" s="5"/>
      <c r="D488" s="5"/>
      <c r="E488" s="5"/>
      <c r="F488" s="5"/>
      <c r="G488" s="5"/>
      <c r="H488" s="5"/>
      <c r="I488" s="10"/>
      <c r="J488" s="10"/>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row>
    <row r="489" ht="15.75" customHeight="1">
      <c r="A489" s="5"/>
      <c r="B489" s="5"/>
      <c r="C489" s="5"/>
      <c r="D489" s="5"/>
      <c r="E489" s="5"/>
      <c r="F489" s="5"/>
      <c r="G489" s="5"/>
      <c r="H489" s="5"/>
      <c r="I489" s="10"/>
      <c r="J489" s="10"/>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row>
    <row r="490" ht="15.75" customHeight="1">
      <c r="A490" s="5"/>
      <c r="B490" s="5"/>
      <c r="C490" s="5"/>
      <c r="D490" s="5"/>
      <c r="E490" s="5"/>
      <c r="F490" s="5"/>
      <c r="G490" s="5"/>
      <c r="H490" s="5"/>
      <c r="I490" s="10"/>
      <c r="J490" s="10"/>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row>
    <row r="491" ht="15.75" customHeight="1">
      <c r="A491" s="5"/>
      <c r="B491" s="5"/>
      <c r="C491" s="5"/>
      <c r="D491" s="5"/>
      <c r="E491" s="5"/>
      <c r="F491" s="5"/>
      <c r="G491" s="5"/>
      <c r="H491" s="5"/>
      <c r="I491" s="10"/>
      <c r="J491" s="10"/>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row>
    <row r="492" ht="15.75" customHeight="1">
      <c r="A492" s="5"/>
      <c r="B492" s="5"/>
      <c r="C492" s="5"/>
      <c r="D492" s="5"/>
      <c r="E492" s="5"/>
      <c r="F492" s="5"/>
      <c r="G492" s="5"/>
      <c r="H492" s="5"/>
      <c r="I492" s="10"/>
      <c r="J492" s="10"/>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row>
    <row r="493" ht="15.75" customHeight="1">
      <c r="A493" s="5"/>
      <c r="B493" s="5"/>
      <c r="C493" s="5"/>
      <c r="D493" s="5"/>
      <c r="E493" s="5"/>
      <c r="F493" s="5"/>
      <c r="G493" s="5"/>
      <c r="H493" s="5"/>
      <c r="I493" s="10"/>
      <c r="J493" s="10"/>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row>
    <row r="494" ht="15.75" customHeight="1">
      <c r="A494" s="5"/>
      <c r="B494" s="5"/>
      <c r="C494" s="5"/>
      <c r="D494" s="5"/>
      <c r="E494" s="5"/>
      <c r="F494" s="5"/>
      <c r="G494" s="5"/>
      <c r="H494" s="5"/>
      <c r="I494" s="10"/>
      <c r="J494" s="10"/>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row>
    <row r="495" ht="15.75" customHeight="1">
      <c r="A495" s="5"/>
      <c r="B495" s="5"/>
      <c r="C495" s="5"/>
      <c r="D495" s="5"/>
      <c r="E495" s="5"/>
      <c r="F495" s="5"/>
      <c r="G495" s="5"/>
      <c r="H495" s="5"/>
      <c r="I495" s="10"/>
      <c r="J495" s="10"/>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row>
    <row r="496" ht="15.75" customHeight="1">
      <c r="A496" s="5"/>
      <c r="B496" s="5"/>
      <c r="C496" s="5"/>
      <c r="D496" s="5"/>
      <c r="E496" s="5"/>
      <c r="F496" s="5"/>
      <c r="G496" s="5"/>
      <c r="H496" s="5"/>
      <c r="I496" s="10"/>
      <c r="J496" s="10"/>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row>
    <row r="497" ht="15.75" customHeight="1">
      <c r="A497" s="5"/>
      <c r="B497" s="5"/>
      <c r="C497" s="5"/>
      <c r="D497" s="5"/>
      <c r="E497" s="5"/>
      <c r="F497" s="5"/>
      <c r="G497" s="5"/>
      <c r="H497" s="5"/>
      <c r="I497" s="10"/>
      <c r="J497" s="10"/>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row>
    <row r="498" ht="15.75" customHeight="1">
      <c r="A498" s="5"/>
      <c r="B498" s="5"/>
      <c r="C498" s="5"/>
      <c r="D498" s="5"/>
      <c r="E498" s="5"/>
      <c r="F498" s="5"/>
      <c r="G498" s="5"/>
      <c r="H498" s="5"/>
      <c r="I498" s="10"/>
      <c r="J498" s="10"/>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row>
    <row r="499" ht="15.75" customHeight="1">
      <c r="A499" s="5"/>
      <c r="B499" s="5"/>
      <c r="C499" s="5"/>
      <c r="D499" s="5"/>
      <c r="E499" s="5"/>
      <c r="F499" s="5"/>
      <c r="G499" s="5"/>
      <c r="H499" s="5"/>
      <c r="I499" s="10"/>
      <c r="J499" s="10"/>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row>
    <row r="500" ht="15.75" customHeight="1">
      <c r="A500" s="5"/>
      <c r="B500" s="5"/>
      <c r="C500" s="5"/>
      <c r="D500" s="5"/>
      <c r="E500" s="5"/>
      <c r="F500" s="5"/>
      <c r="G500" s="5"/>
      <c r="H500" s="5"/>
      <c r="I500" s="10"/>
      <c r="J500" s="10"/>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row>
    <row r="501" ht="15.75" customHeight="1">
      <c r="A501" s="5"/>
      <c r="B501" s="5"/>
      <c r="C501" s="5"/>
      <c r="D501" s="5"/>
      <c r="E501" s="5"/>
      <c r="F501" s="5"/>
      <c r="G501" s="5"/>
      <c r="H501" s="5"/>
      <c r="I501" s="10"/>
      <c r="J501" s="10"/>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row>
    <row r="502" ht="15.75" customHeight="1">
      <c r="A502" s="5"/>
      <c r="B502" s="5"/>
      <c r="C502" s="5"/>
      <c r="D502" s="5"/>
      <c r="E502" s="5"/>
      <c r="F502" s="5"/>
      <c r="G502" s="5"/>
      <c r="H502" s="5"/>
      <c r="I502" s="10"/>
      <c r="J502" s="10"/>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row>
    <row r="503" ht="15.75" customHeight="1">
      <c r="A503" s="5"/>
      <c r="B503" s="5"/>
      <c r="C503" s="5"/>
      <c r="D503" s="5"/>
      <c r="E503" s="5"/>
      <c r="F503" s="5"/>
      <c r="G503" s="5"/>
      <c r="H503" s="5"/>
      <c r="I503" s="10"/>
      <c r="J503" s="10"/>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row>
    <row r="504" ht="15.75" customHeight="1">
      <c r="A504" s="5"/>
      <c r="B504" s="5"/>
      <c r="C504" s="5"/>
      <c r="D504" s="5"/>
      <c r="E504" s="5"/>
      <c r="F504" s="5"/>
      <c r="G504" s="5"/>
      <c r="H504" s="5"/>
      <c r="I504" s="10"/>
      <c r="J504" s="10"/>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row>
    <row r="505" ht="15.75" customHeight="1">
      <c r="A505" s="5"/>
      <c r="B505" s="5"/>
      <c r="C505" s="5"/>
      <c r="D505" s="5"/>
      <c r="E505" s="5"/>
      <c r="F505" s="5"/>
      <c r="G505" s="5"/>
      <c r="H505" s="5"/>
      <c r="I505" s="10"/>
      <c r="J505" s="10"/>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row>
    <row r="506" ht="15.75" customHeight="1">
      <c r="A506" s="5"/>
      <c r="B506" s="5"/>
      <c r="C506" s="5"/>
      <c r="D506" s="5"/>
      <c r="E506" s="5"/>
      <c r="F506" s="5"/>
      <c r="G506" s="5"/>
      <c r="H506" s="5"/>
      <c r="I506" s="10"/>
      <c r="J506" s="10"/>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row>
    <row r="507" ht="15.75" customHeight="1">
      <c r="A507" s="5"/>
      <c r="B507" s="5"/>
      <c r="C507" s="5"/>
      <c r="D507" s="5"/>
      <c r="E507" s="5"/>
      <c r="F507" s="5"/>
      <c r="G507" s="5"/>
      <c r="H507" s="5"/>
      <c r="I507" s="10"/>
      <c r="J507" s="10"/>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row>
    <row r="508" ht="15.75" customHeight="1">
      <c r="A508" s="5"/>
      <c r="B508" s="5"/>
      <c r="C508" s="5"/>
      <c r="D508" s="5"/>
      <c r="E508" s="5"/>
      <c r="F508" s="5"/>
      <c r="G508" s="5"/>
      <c r="H508" s="5"/>
      <c r="I508" s="10"/>
      <c r="J508" s="10"/>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row>
    <row r="509" ht="15.75" customHeight="1">
      <c r="A509" s="5"/>
      <c r="B509" s="5"/>
      <c r="C509" s="5"/>
      <c r="D509" s="5"/>
      <c r="E509" s="5"/>
      <c r="F509" s="5"/>
      <c r="G509" s="5"/>
      <c r="H509" s="5"/>
      <c r="I509" s="10"/>
      <c r="J509" s="10"/>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row>
    <row r="510" ht="15.75" customHeight="1">
      <c r="A510" s="5"/>
      <c r="B510" s="5"/>
      <c r="C510" s="5"/>
      <c r="D510" s="5"/>
      <c r="E510" s="5"/>
      <c r="F510" s="5"/>
      <c r="G510" s="5"/>
      <c r="H510" s="5"/>
      <c r="I510" s="10"/>
      <c r="J510" s="10"/>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row>
    <row r="511" ht="15.75" customHeight="1">
      <c r="A511" s="5"/>
      <c r="B511" s="5"/>
      <c r="C511" s="5"/>
      <c r="D511" s="5"/>
      <c r="E511" s="5"/>
      <c r="F511" s="5"/>
      <c r="G511" s="5"/>
      <c r="H511" s="5"/>
      <c r="I511" s="10"/>
      <c r="J511" s="10"/>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row>
    <row r="512" ht="15.75" customHeight="1">
      <c r="A512" s="5"/>
      <c r="B512" s="5"/>
      <c r="C512" s="5"/>
      <c r="D512" s="5"/>
      <c r="E512" s="5"/>
      <c r="F512" s="5"/>
      <c r="G512" s="5"/>
      <c r="H512" s="5"/>
      <c r="I512" s="10"/>
      <c r="J512" s="10"/>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row>
    <row r="513" ht="15.75" customHeight="1">
      <c r="A513" s="5"/>
      <c r="B513" s="5"/>
      <c r="C513" s="5"/>
      <c r="D513" s="5"/>
      <c r="E513" s="5"/>
      <c r="F513" s="5"/>
      <c r="G513" s="5"/>
      <c r="H513" s="5"/>
      <c r="I513" s="10"/>
      <c r="J513" s="10"/>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row>
    <row r="514" ht="15.75" customHeight="1">
      <c r="A514" s="5"/>
      <c r="B514" s="5"/>
      <c r="C514" s="5"/>
      <c r="D514" s="5"/>
      <c r="E514" s="5"/>
      <c r="F514" s="5"/>
      <c r="G514" s="5"/>
      <c r="H514" s="5"/>
      <c r="I514" s="10"/>
      <c r="J514" s="10"/>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row>
    <row r="515" ht="15.75" customHeight="1">
      <c r="A515" s="5"/>
      <c r="B515" s="5"/>
      <c r="C515" s="5"/>
      <c r="D515" s="5"/>
      <c r="E515" s="5"/>
      <c r="F515" s="5"/>
      <c r="G515" s="5"/>
      <c r="H515" s="5"/>
      <c r="I515" s="10"/>
      <c r="J515" s="10"/>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row>
    <row r="516" ht="15.75" customHeight="1">
      <c r="A516" s="5"/>
      <c r="B516" s="5"/>
      <c r="C516" s="5"/>
      <c r="D516" s="5"/>
      <c r="E516" s="5"/>
      <c r="F516" s="5"/>
      <c r="G516" s="5"/>
      <c r="H516" s="5"/>
      <c r="I516" s="10"/>
      <c r="J516" s="10"/>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row>
    <row r="517" ht="15.75" customHeight="1">
      <c r="A517" s="5"/>
      <c r="B517" s="5"/>
      <c r="C517" s="5"/>
      <c r="D517" s="5"/>
      <c r="E517" s="5"/>
      <c r="F517" s="5"/>
      <c r="G517" s="5"/>
      <c r="H517" s="5"/>
      <c r="I517" s="10"/>
      <c r="J517" s="10"/>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row>
    <row r="518" ht="15.75" customHeight="1">
      <c r="A518" s="5"/>
      <c r="B518" s="5"/>
      <c r="C518" s="5"/>
      <c r="D518" s="5"/>
      <c r="E518" s="5"/>
      <c r="F518" s="5"/>
      <c r="G518" s="5"/>
      <c r="H518" s="5"/>
      <c r="I518" s="10"/>
      <c r="J518" s="10"/>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row>
    <row r="519" ht="15.75" customHeight="1">
      <c r="A519" s="5"/>
      <c r="B519" s="5"/>
      <c r="C519" s="5"/>
      <c r="D519" s="5"/>
      <c r="E519" s="5"/>
      <c r="F519" s="5"/>
      <c r="G519" s="5"/>
      <c r="H519" s="5"/>
      <c r="I519" s="10"/>
      <c r="J519" s="10"/>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row>
    <row r="520" ht="15.75" customHeight="1">
      <c r="A520" s="5"/>
      <c r="B520" s="5"/>
      <c r="C520" s="5"/>
      <c r="D520" s="5"/>
      <c r="E520" s="5"/>
      <c r="F520" s="5"/>
      <c r="G520" s="5"/>
      <c r="H520" s="5"/>
      <c r="I520" s="10"/>
      <c r="J520" s="10"/>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row>
    <row r="521" ht="15.75" customHeight="1">
      <c r="A521" s="5"/>
      <c r="B521" s="5"/>
      <c r="C521" s="5"/>
      <c r="D521" s="5"/>
      <c r="E521" s="5"/>
      <c r="F521" s="5"/>
      <c r="G521" s="5"/>
      <c r="H521" s="5"/>
      <c r="I521" s="10"/>
      <c r="J521" s="10"/>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row>
    <row r="522" ht="15.75" customHeight="1">
      <c r="A522" s="5"/>
      <c r="B522" s="5"/>
      <c r="C522" s="5"/>
      <c r="D522" s="5"/>
      <c r="E522" s="5"/>
      <c r="F522" s="5"/>
      <c r="G522" s="5"/>
      <c r="H522" s="5"/>
      <c r="I522" s="10"/>
      <c r="J522" s="10"/>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row>
    <row r="523" ht="15.75" customHeight="1">
      <c r="A523" s="5"/>
      <c r="B523" s="5"/>
      <c r="C523" s="5"/>
      <c r="D523" s="5"/>
      <c r="E523" s="5"/>
      <c r="F523" s="5"/>
      <c r="G523" s="5"/>
      <c r="H523" s="5"/>
      <c r="I523" s="10"/>
      <c r="J523" s="10"/>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row>
    <row r="524" ht="15.75" customHeight="1">
      <c r="A524" s="5"/>
      <c r="B524" s="5"/>
      <c r="C524" s="5"/>
      <c r="D524" s="5"/>
      <c r="E524" s="5"/>
      <c r="F524" s="5"/>
      <c r="G524" s="5"/>
      <c r="H524" s="5"/>
      <c r="I524" s="10"/>
      <c r="J524" s="10"/>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row>
    <row r="525" ht="15.75" customHeight="1">
      <c r="A525" s="5"/>
      <c r="B525" s="5"/>
      <c r="C525" s="5"/>
      <c r="D525" s="5"/>
      <c r="E525" s="5"/>
      <c r="F525" s="5"/>
      <c r="G525" s="5"/>
      <c r="H525" s="5"/>
      <c r="I525" s="10"/>
      <c r="J525" s="10"/>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row>
    <row r="526" ht="15.75" customHeight="1">
      <c r="A526" s="5"/>
      <c r="B526" s="5"/>
      <c r="C526" s="5"/>
      <c r="D526" s="5"/>
      <c r="E526" s="5"/>
      <c r="F526" s="5"/>
      <c r="G526" s="5"/>
      <c r="H526" s="5"/>
      <c r="I526" s="10"/>
      <c r="J526" s="10"/>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row>
    <row r="527" ht="15.75" customHeight="1">
      <c r="A527" s="5"/>
      <c r="B527" s="5"/>
      <c r="C527" s="5"/>
      <c r="D527" s="5"/>
      <c r="E527" s="5"/>
      <c r="F527" s="5"/>
      <c r="G527" s="5"/>
      <c r="H527" s="5"/>
      <c r="I527" s="10"/>
      <c r="J527" s="10"/>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row>
    <row r="528" ht="15.75" customHeight="1">
      <c r="A528" s="5"/>
      <c r="B528" s="5"/>
      <c r="C528" s="5"/>
      <c r="D528" s="5"/>
      <c r="E528" s="5"/>
      <c r="F528" s="5"/>
      <c r="G528" s="5"/>
      <c r="H528" s="5"/>
      <c r="I528" s="10"/>
      <c r="J528" s="10"/>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row>
    <row r="529" ht="15.75" customHeight="1">
      <c r="A529" s="5"/>
      <c r="B529" s="5"/>
      <c r="C529" s="5"/>
      <c r="D529" s="5"/>
      <c r="E529" s="5"/>
      <c r="F529" s="5"/>
      <c r="G529" s="5"/>
      <c r="H529" s="5"/>
      <c r="I529" s="10"/>
      <c r="J529" s="10"/>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row>
    <row r="530" ht="15.75" customHeight="1">
      <c r="A530" s="5"/>
      <c r="B530" s="5"/>
      <c r="C530" s="5"/>
      <c r="D530" s="5"/>
      <c r="E530" s="5"/>
      <c r="F530" s="5"/>
      <c r="G530" s="5"/>
      <c r="H530" s="5"/>
      <c r="I530" s="10"/>
      <c r="J530" s="10"/>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row>
    <row r="531" ht="15.75" customHeight="1">
      <c r="A531" s="5"/>
      <c r="B531" s="5"/>
      <c r="C531" s="5"/>
      <c r="D531" s="5"/>
      <c r="E531" s="5"/>
      <c r="F531" s="5"/>
      <c r="G531" s="5"/>
      <c r="H531" s="5"/>
      <c r="I531" s="10"/>
      <c r="J531" s="10"/>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row>
    <row r="532" ht="15.75" customHeight="1">
      <c r="A532" s="5"/>
      <c r="B532" s="5"/>
      <c r="C532" s="5"/>
      <c r="D532" s="5"/>
      <c r="E532" s="5"/>
      <c r="F532" s="5"/>
      <c r="G532" s="5"/>
      <c r="H532" s="5"/>
      <c r="I532" s="10"/>
      <c r="J532" s="10"/>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row>
    <row r="533" ht="15.75" customHeight="1">
      <c r="A533" s="5"/>
      <c r="B533" s="5"/>
      <c r="C533" s="5"/>
      <c r="D533" s="5"/>
      <c r="E533" s="5"/>
      <c r="F533" s="5"/>
      <c r="G533" s="5"/>
      <c r="H533" s="5"/>
      <c r="I533" s="10"/>
      <c r="J533" s="10"/>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row>
    <row r="534" ht="15.75" customHeight="1">
      <c r="A534" s="5"/>
      <c r="B534" s="5"/>
      <c r="C534" s="5"/>
      <c r="D534" s="5"/>
      <c r="E534" s="5"/>
      <c r="F534" s="5"/>
      <c r="G534" s="5"/>
      <c r="H534" s="5"/>
      <c r="I534" s="10"/>
      <c r="J534" s="10"/>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row>
    <row r="535" ht="15.75" customHeight="1">
      <c r="A535" s="5"/>
      <c r="B535" s="5"/>
      <c r="C535" s="5"/>
      <c r="D535" s="5"/>
      <c r="E535" s="5"/>
      <c r="F535" s="5"/>
      <c r="G535" s="5"/>
      <c r="H535" s="5"/>
      <c r="I535" s="10"/>
      <c r="J535" s="10"/>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row>
    <row r="536" ht="15.75" customHeight="1">
      <c r="A536" s="5"/>
      <c r="B536" s="5"/>
      <c r="C536" s="5"/>
      <c r="D536" s="5"/>
      <c r="E536" s="5"/>
      <c r="F536" s="5"/>
      <c r="G536" s="5"/>
      <c r="H536" s="5"/>
      <c r="I536" s="10"/>
      <c r="J536" s="10"/>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row>
    <row r="537" ht="15.75" customHeight="1">
      <c r="A537" s="5"/>
      <c r="B537" s="5"/>
      <c r="C537" s="5"/>
      <c r="D537" s="5"/>
      <c r="E537" s="5"/>
      <c r="F537" s="5"/>
      <c r="G537" s="5"/>
      <c r="H537" s="5"/>
      <c r="I537" s="10"/>
      <c r="J537" s="10"/>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row>
    <row r="538" ht="15.75" customHeight="1">
      <c r="A538" s="5"/>
      <c r="B538" s="5"/>
      <c r="C538" s="5"/>
      <c r="D538" s="5"/>
      <c r="E538" s="5"/>
      <c r="F538" s="5"/>
      <c r="G538" s="5"/>
      <c r="H538" s="5"/>
      <c r="I538" s="10"/>
      <c r="J538" s="10"/>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row>
    <row r="539" ht="15.75" customHeight="1">
      <c r="A539" s="5"/>
      <c r="B539" s="5"/>
      <c r="C539" s="5"/>
      <c r="D539" s="5"/>
      <c r="E539" s="5"/>
      <c r="F539" s="5"/>
      <c r="G539" s="5"/>
      <c r="H539" s="5"/>
      <c r="I539" s="10"/>
      <c r="J539" s="10"/>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row>
    <row r="540" ht="15.75" customHeight="1">
      <c r="A540" s="5"/>
      <c r="B540" s="5"/>
      <c r="C540" s="5"/>
      <c r="D540" s="5"/>
      <c r="E540" s="5"/>
      <c r="F540" s="5"/>
      <c r="G540" s="5"/>
      <c r="H540" s="5"/>
      <c r="I540" s="10"/>
      <c r="J540" s="10"/>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row>
    <row r="541" ht="15.75" customHeight="1">
      <c r="A541" s="5"/>
      <c r="B541" s="5"/>
      <c r="C541" s="5"/>
      <c r="D541" s="5"/>
      <c r="E541" s="5"/>
      <c r="F541" s="5"/>
      <c r="G541" s="5"/>
      <c r="H541" s="5"/>
      <c r="I541" s="10"/>
      <c r="J541" s="10"/>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row>
    <row r="542" ht="15.75" customHeight="1">
      <c r="A542" s="5"/>
      <c r="B542" s="5"/>
      <c r="C542" s="5"/>
      <c r="D542" s="5"/>
      <c r="E542" s="5"/>
      <c r="F542" s="5"/>
      <c r="G542" s="5"/>
      <c r="H542" s="5"/>
      <c r="I542" s="10"/>
      <c r="J542" s="10"/>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row>
    <row r="543" ht="15.75" customHeight="1">
      <c r="A543" s="5"/>
      <c r="B543" s="5"/>
      <c r="C543" s="5"/>
      <c r="D543" s="5"/>
      <c r="E543" s="5"/>
      <c r="F543" s="5"/>
      <c r="G543" s="5"/>
      <c r="H543" s="5"/>
      <c r="I543" s="10"/>
      <c r="J543" s="10"/>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row>
    <row r="544" ht="15.75" customHeight="1">
      <c r="A544" s="5"/>
      <c r="B544" s="5"/>
      <c r="C544" s="5"/>
      <c r="D544" s="5"/>
      <c r="E544" s="5"/>
      <c r="F544" s="5"/>
      <c r="G544" s="5"/>
      <c r="H544" s="5"/>
      <c r="I544" s="10"/>
      <c r="J544" s="10"/>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row>
    <row r="545" ht="15.75" customHeight="1">
      <c r="A545" s="5"/>
      <c r="B545" s="5"/>
      <c r="C545" s="5"/>
      <c r="D545" s="5"/>
      <c r="E545" s="5"/>
      <c r="F545" s="5"/>
      <c r="G545" s="5"/>
      <c r="H545" s="5"/>
      <c r="I545" s="10"/>
      <c r="J545" s="10"/>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row>
    <row r="546" ht="15.75" customHeight="1">
      <c r="A546" s="5"/>
      <c r="B546" s="5"/>
      <c r="C546" s="5"/>
      <c r="D546" s="5"/>
      <c r="E546" s="5"/>
      <c r="F546" s="5"/>
      <c r="G546" s="5"/>
      <c r="H546" s="5"/>
      <c r="I546" s="10"/>
      <c r="J546" s="10"/>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row>
    <row r="547" ht="15.75" customHeight="1">
      <c r="A547" s="5"/>
      <c r="B547" s="5"/>
      <c r="C547" s="5"/>
      <c r="D547" s="5"/>
      <c r="E547" s="5"/>
      <c r="F547" s="5"/>
      <c r="G547" s="5"/>
      <c r="H547" s="5"/>
      <c r="I547" s="10"/>
      <c r="J547" s="10"/>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row>
    <row r="548" ht="15.75" customHeight="1">
      <c r="A548" s="5"/>
      <c r="B548" s="5"/>
      <c r="C548" s="5"/>
      <c r="D548" s="5"/>
      <c r="E548" s="5"/>
      <c r="F548" s="5"/>
      <c r="G548" s="5"/>
      <c r="H548" s="5"/>
      <c r="I548" s="10"/>
      <c r="J548" s="10"/>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row>
    <row r="549" ht="15.75" customHeight="1">
      <c r="A549" s="5"/>
      <c r="B549" s="5"/>
      <c r="C549" s="5"/>
      <c r="D549" s="5"/>
      <c r="E549" s="5"/>
      <c r="F549" s="5"/>
      <c r="G549" s="5"/>
      <c r="H549" s="5"/>
      <c r="I549" s="10"/>
      <c r="J549" s="10"/>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row>
    <row r="550" ht="15.75" customHeight="1">
      <c r="A550" s="5"/>
      <c r="B550" s="5"/>
      <c r="C550" s="5"/>
      <c r="D550" s="5"/>
      <c r="E550" s="5"/>
      <c r="F550" s="5"/>
      <c r="G550" s="5"/>
      <c r="H550" s="5"/>
      <c r="I550" s="10"/>
      <c r="J550" s="10"/>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row>
    <row r="551" ht="15.75" customHeight="1">
      <c r="A551" s="5"/>
      <c r="B551" s="5"/>
      <c r="C551" s="5"/>
      <c r="D551" s="5"/>
      <c r="E551" s="5"/>
      <c r="F551" s="5"/>
      <c r="G551" s="5"/>
      <c r="H551" s="5"/>
      <c r="I551" s="10"/>
      <c r="J551" s="10"/>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row>
    <row r="552" ht="15.75" customHeight="1">
      <c r="A552" s="5"/>
      <c r="B552" s="5"/>
      <c r="C552" s="5"/>
      <c r="D552" s="5"/>
      <c r="E552" s="5"/>
      <c r="F552" s="5"/>
      <c r="G552" s="5"/>
      <c r="H552" s="5"/>
      <c r="I552" s="10"/>
      <c r="J552" s="10"/>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row>
    <row r="553" ht="15.75" customHeight="1">
      <c r="A553" s="5"/>
      <c r="B553" s="5"/>
      <c r="C553" s="5"/>
      <c r="D553" s="5"/>
      <c r="E553" s="5"/>
      <c r="F553" s="5"/>
      <c r="G553" s="5"/>
      <c r="H553" s="5"/>
      <c r="I553" s="10"/>
      <c r="J553" s="10"/>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row>
    <row r="554" ht="15.75" customHeight="1">
      <c r="A554" s="5"/>
      <c r="B554" s="5"/>
      <c r="C554" s="5"/>
      <c r="D554" s="5"/>
      <c r="E554" s="5"/>
      <c r="F554" s="5"/>
      <c r="G554" s="5"/>
      <c r="H554" s="5"/>
      <c r="I554" s="10"/>
      <c r="J554" s="10"/>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row>
    <row r="555" ht="15.75" customHeight="1">
      <c r="A555" s="5"/>
      <c r="B555" s="5"/>
      <c r="C555" s="5"/>
      <c r="D555" s="5"/>
      <c r="E555" s="5"/>
      <c r="F555" s="5"/>
      <c r="G555" s="5"/>
      <c r="H555" s="5"/>
      <c r="I555" s="10"/>
      <c r="J555" s="10"/>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row>
    <row r="556" ht="15.75" customHeight="1">
      <c r="A556" s="5"/>
      <c r="B556" s="5"/>
      <c r="C556" s="5"/>
      <c r="D556" s="5"/>
      <c r="E556" s="5"/>
      <c r="F556" s="5"/>
      <c r="G556" s="5"/>
      <c r="H556" s="5"/>
      <c r="I556" s="10"/>
      <c r="J556" s="10"/>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row>
    <row r="557" ht="15.75" customHeight="1">
      <c r="A557" s="5"/>
      <c r="B557" s="5"/>
      <c r="C557" s="5"/>
      <c r="D557" s="5"/>
      <c r="E557" s="5"/>
      <c r="F557" s="5"/>
      <c r="G557" s="5"/>
      <c r="H557" s="5"/>
      <c r="I557" s="10"/>
      <c r="J557" s="10"/>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row>
    <row r="558" ht="15.75" customHeight="1">
      <c r="A558" s="5"/>
      <c r="B558" s="5"/>
      <c r="C558" s="5"/>
      <c r="D558" s="5"/>
      <c r="E558" s="5"/>
      <c r="F558" s="5"/>
      <c r="G558" s="5"/>
      <c r="H558" s="5"/>
      <c r="I558" s="10"/>
      <c r="J558" s="10"/>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row>
    <row r="559" ht="15.75" customHeight="1">
      <c r="A559" s="5"/>
      <c r="B559" s="5"/>
      <c r="C559" s="5"/>
      <c r="D559" s="5"/>
      <c r="E559" s="5"/>
      <c r="F559" s="5"/>
      <c r="G559" s="5"/>
      <c r="H559" s="5"/>
      <c r="I559" s="10"/>
      <c r="J559" s="10"/>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row>
    <row r="560" ht="15.75" customHeight="1">
      <c r="A560" s="5"/>
      <c r="B560" s="5"/>
      <c r="C560" s="5"/>
      <c r="D560" s="5"/>
      <c r="E560" s="5"/>
      <c r="F560" s="5"/>
      <c r="G560" s="5"/>
      <c r="H560" s="5"/>
      <c r="I560" s="10"/>
      <c r="J560" s="10"/>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row>
    <row r="561" ht="15.75" customHeight="1">
      <c r="A561" s="5"/>
      <c r="B561" s="5"/>
      <c r="C561" s="5"/>
      <c r="D561" s="5"/>
      <c r="E561" s="5"/>
      <c r="F561" s="5"/>
      <c r="G561" s="5"/>
      <c r="H561" s="5"/>
      <c r="I561" s="10"/>
      <c r="J561" s="10"/>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row>
    <row r="562" ht="15.75" customHeight="1">
      <c r="A562" s="5"/>
      <c r="B562" s="5"/>
      <c r="C562" s="5"/>
      <c r="D562" s="5"/>
      <c r="E562" s="5"/>
      <c r="F562" s="5"/>
      <c r="G562" s="5"/>
      <c r="H562" s="5"/>
      <c r="I562" s="10"/>
      <c r="J562" s="10"/>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row>
    <row r="563" ht="15.75" customHeight="1">
      <c r="A563" s="5"/>
      <c r="B563" s="5"/>
      <c r="C563" s="5"/>
      <c r="D563" s="5"/>
      <c r="E563" s="5"/>
      <c r="F563" s="5"/>
      <c r="G563" s="5"/>
      <c r="H563" s="5"/>
      <c r="I563" s="10"/>
      <c r="J563" s="10"/>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row>
    <row r="564" ht="15.75" customHeight="1">
      <c r="A564" s="5"/>
      <c r="B564" s="5"/>
      <c r="C564" s="5"/>
      <c r="D564" s="5"/>
      <c r="E564" s="5"/>
      <c r="F564" s="5"/>
      <c r="G564" s="5"/>
      <c r="H564" s="5"/>
      <c r="I564" s="10"/>
      <c r="J564" s="10"/>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row>
    <row r="565" ht="15.75" customHeight="1">
      <c r="A565" s="5"/>
      <c r="B565" s="5"/>
      <c r="C565" s="5"/>
      <c r="D565" s="5"/>
      <c r="E565" s="5"/>
      <c r="F565" s="5"/>
      <c r="G565" s="5"/>
      <c r="H565" s="5"/>
      <c r="I565" s="10"/>
      <c r="J565" s="10"/>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row>
    <row r="566" ht="15.75" customHeight="1">
      <c r="A566" s="5"/>
      <c r="B566" s="5"/>
      <c r="C566" s="5"/>
      <c r="D566" s="5"/>
      <c r="E566" s="5"/>
      <c r="F566" s="5"/>
      <c r="G566" s="5"/>
      <c r="H566" s="5"/>
      <c r="I566" s="10"/>
      <c r="J566" s="10"/>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row>
    <row r="567" ht="15.75" customHeight="1">
      <c r="A567" s="5"/>
      <c r="B567" s="5"/>
      <c r="C567" s="5"/>
      <c r="D567" s="5"/>
      <c r="E567" s="5"/>
      <c r="F567" s="5"/>
      <c r="G567" s="5"/>
      <c r="H567" s="5"/>
      <c r="I567" s="10"/>
      <c r="J567" s="10"/>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row>
    <row r="568" ht="15.75" customHeight="1">
      <c r="A568" s="5"/>
      <c r="B568" s="5"/>
      <c r="C568" s="5"/>
      <c r="D568" s="5"/>
      <c r="E568" s="5"/>
      <c r="F568" s="5"/>
      <c r="G568" s="5"/>
      <c r="H568" s="5"/>
      <c r="I568" s="10"/>
      <c r="J568" s="10"/>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row>
    <row r="569" ht="15.75" customHeight="1">
      <c r="A569" s="5"/>
      <c r="B569" s="5"/>
      <c r="C569" s="5"/>
      <c r="D569" s="5"/>
      <c r="E569" s="5"/>
      <c r="F569" s="5"/>
      <c r="G569" s="5"/>
      <c r="H569" s="5"/>
      <c r="I569" s="10"/>
      <c r="J569" s="10"/>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row>
    <row r="570" ht="15.75" customHeight="1">
      <c r="A570" s="5"/>
      <c r="B570" s="5"/>
      <c r="C570" s="5"/>
      <c r="D570" s="5"/>
      <c r="E570" s="5"/>
      <c r="F570" s="5"/>
      <c r="G570" s="5"/>
      <c r="H570" s="5"/>
      <c r="I570" s="10"/>
      <c r="J570" s="10"/>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row>
    <row r="571" ht="15.75" customHeight="1">
      <c r="A571" s="5"/>
      <c r="B571" s="5"/>
      <c r="C571" s="5"/>
      <c r="D571" s="5"/>
      <c r="E571" s="5"/>
      <c r="F571" s="5"/>
      <c r="G571" s="5"/>
      <c r="H571" s="5"/>
      <c r="I571" s="10"/>
      <c r="J571" s="10"/>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row>
    <row r="572" ht="15.75" customHeight="1">
      <c r="A572" s="5"/>
      <c r="B572" s="5"/>
      <c r="C572" s="5"/>
      <c r="D572" s="5"/>
      <c r="E572" s="5"/>
      <c r="F572" s="5"/>
      <c r="G572" s="5"/>
      <c r="H572" s="5"/>
      <c r="I572" s="10"/>
      <c r="J572" s="10"/>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row>
    <row r="573" ht="15.75" customHeight="1">
      <c r="A573" s="5"/>
      <c r="B573" s="5"/>
      <c r="C573" s="5"/>
      <c r="D573" s="5"/>
      <c r="E573" s="5"/>
      <c r="F573" s="5"/>
      <c r="G573" s="5"/>
      <c r="H573" s="5"/>
      <c r="I573" s="10"/>
      <c r="J573" s="10"/>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row>
    <row r="574" ht="15.75" customHeight="1">
      <c r="A574" s="5"/>
      <c r="B574" s="5"/>
      <c r="C574" s="5"/>
      <c r="D574" s="5"/>
      <c r="E574" s="5"/>
      <c r="F574" s="5"/>
      <c r="G574" s="5"/>
      <c r="H574" s="5"/>
      <c r="I574" s="10"/>
      <c r="J574" s="10"/>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row>
    <row r="575" ht="15.75" customHeight="1">
      <c r="A575" s="5"/>
      <c r="B575" s="5"/>
      <c r="C575" s="5"/>
      <c r="D575" s="5"/>
      <c r="E575" s="5"/>
      <c r="F575" s="5"/>
      <c r="G575" s="5"/>
      <c r="H575" s="5"/>
      <c r="I575" s="10"/>
      <c r="J575" s="10"/>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row>
    <row r="576" ht="15.75" customHeight="1">
      <c r="A576" s="5"/>
      <c r="B576" s="5"/>
      <c r="C576" s="5"/>
      <c r="D576" s="5"/>
      <c r="E576" s="5"/>
      <c r="F576" s="5"/>
      <c r="G576" s="5"/>
      <c r="H576" s="5"/>
      <c r="I576" s="10"/>
      <c r="J576" s="10"/>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row>
    <row r="577" ht="15.75" customHeight="1">
      <c r="A577" s="5"/>
      <c r="B577" s="5"/>
      <c r="C577" s="5"/>
      <c r="D577" s="5"/>
      <c r="E577" s="5"/>
      <c r="F577" s="5"/>
      <c r="G577" s="5"/>
      <c r="H577" s="5"/>
      <c r="I577" s="10"/>
      <c r="J577" s="10"/>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row>
    <row r="578" ht="15.75" customHeight="1">
      <c r="A578" s="5"/>
      <c r="B578" s="5"/>
      <c r="C578" s="5"/>
      <c r="D578" s="5"/>
      <c r="E578" s="5"/>
      <c r="F578" s="5"/>
      <c r="G578" s="5"/>
      <c r="H578" s="5"/>
      <c r="I578" s="10"/>
      <c r="J578" s="10"/>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row>
    <row r="579" ht="15.75" customHeight="1">
      <c r="A579" s="5"/>
      <c r="B579" s="5"/>
      <c r="C579" s="5"/>
      <c r="D579" s="5"/>
      <c r="E579" s="5"/>
      <c r="F579" s="5"/>
      <c r="G579" s="5"/>
      <c r="H579" s="5"/>
      <c r="I579" s="10"/>
      <c r="J579" s="10"/>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row>
    <row r="580" ht="15.75" customHeight="1">
      <c r="A580" s="5"/>
      <c r="B580" s="5"/>
      <c r="C580" s="5"/>
      <c r="D580" s="5"/>
      <c r="E580" s="5"/>
      <c r="F580" s="5"/>
      <c r="G580" s="5"/>
      <c r="H580" s="5"/>
      <c r="I580" s="10"/>
      <c r="J580" s="10"/>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row>
    <row r="581" ht="15.75" customHeight="1">
      <c r="A581" s="5"/>
      <c r="B581" s="5"/>
      <c r="C581" s="5"/>
      <c r="D581" s="5"/>
      <c r="E581" s="5"/>
      <c r="F581" s="5"/>
      <c r="G581" s="5"/>
      <c r="H581" s="5"/>
      <c r="I581" s="10"/>
      <c r="J581" s="10"/>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row>
    <row r="582" ht="15.75" customHeight="1">
      <c r="A582" s="5"/>
      <c r="B582" s="5"/>
      <c r="C582" s="5"/>
      <c r="D582" s="5"/>
      <c r="E582" s="5"/>
      <c r="F582" s="5"/>
      <c r="G582" s="5"/>
      <c r="H582" s="5"/>
      <c r="I582" s="10"/>
      <c r="J582" s="10"/>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row>
    <row r="583" ht="15.75" customHeight="1">
      <c r="A583" s="5"/>
      <c r="B583" s="5"/>
      <c r="C583" s="5"/>
      <c r="D583" s="5"/>
      <c r="E583" s="5"/>
      <c r="F583" s="5"/>
      <c r="G583" s="5"/>
      <c r="H583" s="5"/>
      <c r="I583" s="10"/>
      <c r="J583" s="10"/>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row>
    <row r="584" ht="15.75" customHeight="1">
      <c r="A584" s="5"/>
      <c r="B584" s="5"/>
      <c r="C584" s="5"/>
      <c r="D584" s="5"/>
      <c r="E584" s="5"/>
      <c r="F584" s="5"/>
      <c r="G584" s="5"/>
      <c r="H584" s="5"/>
      <c r="I584" s="10"/>
      <c r="J584" s="10"/>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row>
    <row r="585" ht="15.75" customHeight="1">
      <c r="A585" s="5"/>
      <c r="B585" s="5"/>
      <c r="C585" s="5"/>
      <c r="D585" s="5"/>
      <c r="E585" s="5"/>
      <c r="F585" s="5"/>
      <c r="G585" s="5"/>
      <c r="H585" s="5"/>
      <c r="I585" s="10"/>
      <c r="J585" s="10"/>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row>
    <row r="586" ht="15.75" customHeight="1">
      <c r="A586" s="5"/>
      <c r="B586" s="5"/>
      <c r="C586" s="5"/>
      <c r="D586" s="5"/>
      <c r="E586" s="5"/>
      <c r="F586" s="5"/>
      <c r="G586" s="5"/>
      <c r="H586" s="5"/>
      <c r="I586" s="10"/>
      <c r="J586" s="10"/>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row>
    <row r="587" ht="15.75" customHeight="1">
      <c r="A587" s="5"/>
      <c r="B587" s="5"/>
      <c r="C587" s="5"/>
      <c r="D587" s="5"/>
      <c r="E587" s="5"/>
      <c r="F587" s="5"/>
      <c r="G587" s="5"/>
      <c r="H587" s="5"/>
      <c r="I587" s="10"/>
      <c r="J587" s="10"/>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row>
    <row r="588" ht="15.75" customHeight="1">
      <c r="A588" s="5"/>
      <c r="B588" s="5"/>
      <c r="C588" s="5"/>
      <c r="D588" s="5"/>
      <c r="E588" s="5"/>
      <c r="F588" s="5"/>
      <c r="G588" s="5"/>
      <c r="H588" s="5"/>
      <c r="I588" s="10"/>
      <c r="J588" s="10"/>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row>
    <row r="589" ht="15.75" customHeight="1">
      <c r="A589" s="5"/>
      <c r="B589" s="5"/>
      <c r="C589" s="5"/>
      <c r="D589" s="5"/>
      <c r="E589" s="5"/>
      <c r="F589" s="5"/>
      <c r="G589" s="5"/>
      <c r="H589" s="5"/>
      <c r="I589" s="10"/>
      <c r="J589" s="10"/>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row>
    <row r="590" ht="15.75" customHeight="1">
      <c r="A590" s="5"/>
      <c r="B590" s="5"/>
      <c r="C590" s="5"/>
      <c r="D590" s="5"/>
      <c r="E590" s="5"/>
      <c r="F590" s="5"/>
      <c r="G590" s="5"/>
      <c r="H590" s="5"/>
      <c r="I590" s="10"/>
      <c r="J590" s="10"/>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row>
    <row r="591" ht="15.75" customHeight="1">
      <c r="A591" s="5"/>
      <c r="B591" s="5"/>
      <c r="C591" s="5"/>
      <c r="D591" s="5"/>
      <c r="E591" s="5"/>
      <c r="F591" s="5"/>
      <c r="G591" s="5"/>
      <c r="H591" s="5"/>
      <c r="I591" s="10"/>
      <c r="J591" s="10"/>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row>
    <row r="592" ht="15.75" customHeight="1">
      <c r="A592" s="5"/>
      <c r="B592" s="5"/>
      <c r="C592" s="5"/>
      <c r="D592" s="5"/>
      <c r="E592" s="5"/>
      <c r="F592" s="5"/>
      <c r="G592" s="5"/>
      <c r="H592" s="5"/>
      <c r="I592" s="10"/>
      <c r="J592" s="10"/>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row>
    <row r="593" ht="15.75" customHeight="1">
      <c r="A593" s="5"/>
      <c r="B593" s="5"/>
      <c r="C593" s="5"/>
      <c r="D593" s="5"/>
      <c r="E593" s="5"/>
      <c r="F593" s="5"/>
      <c r="G593" s="5"/>
      <c r="H593" s="5"/>
      <c r="I593" s="10"/>
      <c r="J593" s="10"/>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row>
    <row r="594" ht="15.75" customHeight="1">
      <c r="A594" s="5"/>
      <c r="B594" s="5"/>
      <c r="C594" s="5"/>
      <c r="D594" s="5"/>
      <c r="E594" s="5"/>
      <c r="F594" s="5"/>
      <c r="G594" s="5"/>
      <c r="H594" s="5"/>
      <c r="I594" s="10"/>
      <c r="J594" s="10"/>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row>
    <row r="595" ht="15.75" customHeight="1">
      <c r="A595" s="5"/>
      <c r="B595" s="5"/>
      <c r="C595" s="5"/>
      <c r="D595" s="5"/>
      <c r="E595" s="5"/>
      <c r="F595" s="5"/>
      <c r="G595" s="5"/>
      <c r="H595" s="5"/>
      <c r="I595" s="10"/>
      <c r="J595" s="10"/>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row>
    <row r="596" ht="15.75" customHeight="1">
      <c r="A596" s="5"/>
      <c r="B596" s="5"/>
      <c r="C596" s="5"/>
      <c r="D596" s="5"/>
      <c r="E596" s="5"/>
      <c r="F596" s="5"/>
      <c r="G596" s="5"/>
      <c r="H596" s="5"/>
      <c r="I596" s="10"/>
      <c r="J596" s="10"/>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row>
    <row r="597" ht="15.75" customHeight="1">
      <c r="A597" s="5"/>
      <c r="B597" s="5"/>
      <c r="C597" s="5"/>
      <c r="D597" s="5"/>
      <c r="E597" s="5"/>
      <c r="F597" s="5"/>
      <c r="G597" s="5"/>
      <c r="H597" s="5"/>
      <c r="I597" s="10"/>
      <c r="J597" s="10"/>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row>
    <row r="598" ht="15.75" customHeight="1">
      <c r="A598" s="5"/>
      <c r="B598" s="5"/>
      <c r="C598" s="5"/>
      <c r="D598" s="5"/>
      <c r="E598" s="5"/>
      <c r="F598" s="5"/>
      <c r="G598" s="5"/>
      <c r="H598" s="5"/>
      <c r="I598" s="10"/>
      <c r="J598" s="10"/>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row>
    <row r="599" ht="15.75" customHeight="1">
      <c r="A599" s="5"/>
      <c r="B599" s="5"/>
      <c r="C599" s="5"/>
      <c r="D599" s="5"/>
      <c r="E599" s="5"/>
      <c r="F599" s="5"/>
      <c r="G599" s="5"/>
      <c r="H599" s="5"/>
      <c r="I599" s="10"/>
      <c r="J599" s="10"/>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row>
    <row r="600" ht="15.75" customHeight="1">
      <c r="A600" s="5"/>
      <c r="B600" s="5"/>
      <c r="C600" s="5"/>
      <c r="D600" s="5"/>
      <c r="E600" s="5"/>
      <c r="F600" s="5"/>
      <c r="G600" s="5"/>
      <c r="H600" s="5"/>
      <c r="I600" s="10"/>
      <c r="J600" s="10"/>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row>
    <row r="601" ht="15.75" customHeight="1">
      <c r="A601" s="5"/>
      <c r="B601" s="5"/>
      <c r="C601" s="5"/>
      <c r="D601" s="5"/>
      <c r="E601" s="5"/>
      <c r="F601" s="5"/>
      <c r="G601" s="5"/>
      <c r="H601" s="5"/>
      <c r="I601" s="10"/>
      <c r="J601" s="10"/>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row>
    <row r="602" ht="15.75" customHeight="1">
      <c r="A602" s="5"/>
      <c r="B602" s="5"/>
      <c r="C602" s="5"/>
      <c r="D602" s="5"/>
      <c r="E602" s="5"/>
      <c r="F602" s="5"/>
      <c r="G602" s="5"/>
      <c r="H602" s="5"/>
      <c r="I602" s="10"/>
      <c r="J602" s="10"/>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row>
    <row r="603" ht="15.75" customHeight="1">
      <c r="A603" s="5"/>
      <c r="B603" s="5"/>
      <c r="C603" s="5"/>
      <c r="D603" s="5"/>
      <c r="E603" s="5"/>
      <c r="F603" s="5"/>
      <c r="G603" s="5"/>
      <c r="H603" s="5"/>
      <c r="I603" s="10"/>
      <c r="J603" s="10"/>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row>
    <row r="604" ht="15.75" customHeight="1">
      <c r="A604" s="5"/>
      <c r="B604" s="5"/>
      <c r="C604" s="5"/>
      <c r="D604" s="5"/>
      <c r="E604" s="5"/>
      <c r="F604" s="5"/>
      <c r="G604" s="5"/>
      <c r="H604" s="5"/>
      <c r="I604" s="10"/>
      <c r="J604" s="10"/>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row>
    <row r="605" ht="15.75" customHeight="1">
      <c r="A605" s="5"/>
      <c r="B605" s="5"/>
      <c r="C605" s="5"/>
      <c r="D605" s="5"/>
      <c r="E605" s="5"/>
      <c r="F605" s="5"/>
      <c r="G605" s="5"/>
      <c r="H605" s="5"/>
      <c r="I605" s="10"/>
      <c r="J605" s="10"/>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row>
    <row r="606" ht="15.75" customHeight="1">
      <c r="A606" s="5"/>
      <c r="B606" s="5"/>
      <c r="C606" s="5"/>
      <c r="D606" s="5"/>
      <c r="E606" s="5"/>
      <c r="F606" s="5"/>
      <c r="G606" s="5"/>
      <c r="H606" s="5"/>
      <c r="I606" s="10"/>
      <c r="J606" s="10"/>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row>
    <row r="607" ht="15.75" customHeight="1">
      <c r="A607" s="5"/>
      <c r="B607" s="5"/>
      <c r="C607" s="5"/>
      <c r="D607" s="5"/>
      <c r="E607" s="5"/>
      <c r="F607" s="5"/>
      <c r="G607" s="5"/>
      <c r="H607" s="5"/>
      <c r="I607" s="10"/>
      <c r="J607" s="10"/>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row>
    <row r="608" ht="15.75" customHeight="1">
      <c r="A608" s="5"/>
      <c r="B608" s="5"/>
      <c r="C608" s="5"/>
      <c r="D608" s="5"/>
      <c r="E608" s="5"/>
      <c r="F608" s="5"/>
      <c r="G608" s="5"/>
      <c r="H608" s="5"/>
      <c r="I608" s="10"/>
      <c r="J608" s="10"/>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row>
    <row r="609" ht="15.75" customHeight="1">
      <c r="A609" s="5"/>
      <c r="B609" s="5"/>
      <c r="C609" s="5"/>
      <c r="D609" s="5"/>
      <c r="E609" s="5"/>
      <c r="F609" s="5"/>
      <c r="G609" s="5"/>
      <c r="H609" s="5"/>
      <c r="I609" s="10"/>
      <c r="J609" s="10"/>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row>
    <row r="610" ht="15.75" customHeight="1">
      <c r="A610" s="5"/>
      <c r="B610" s="5"/>
      <c r="C610" s="5"/>
      <c r="D610" s="5"/>
      <c r="E610" s="5"/>
      <c r="F610" s="5"/>
      <c r="G610" s="5"/>
      <c r="H610" s="5"/>
      <c r="I610" s="10"/>
      <c r="J610" s="10"/>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row>
    <row r="611" ht="15.75" customHeight="1">
      <c r="A611" s="5"/>
      <c r="B611" s="5"/>
      <c r="C611" s="5"/>
      <c r="D611" s="5"/>
      <c r="E611" s="5"/>
      <c r="F611" s="5"/>
      <c r="G611" s="5"/>
      <c r="H611" s="5"/>
      <c r="I611" s="10"/>
      <c r="J611" s="10"/>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row>
    <row r="612" ht="15.75" customHeight="1">
      <c r="A612" s="5"/>
      <c r="B612" s="5"/>
      <c r="C612" s="5"/>
      <c r="D612" s="5"/>
      <c r="E612" s="5"/>
      <c r="F612" s="5"/>
      <c r="G612" s="5"/>
      <c r="H612" s="5"/>
      <c r="I612" s="10"/>
      <c r="J612" s="10"/>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row>
    <row r="613" ht="15.75" customHeight="1">
      <c r="A613" s="5"/>
      <c r="B613" s="5"/>
      <c r="C613" s="5"/>
      <c r="D613" s="5"/>
      <c r="E613" s="5"/>
      <c r="F613" s="5"/>
      <c r="G613" s="5"/>
      <c r="H613" s="5"/>
      <c r="I613" s="10"/>
      <c r="J613" s="10"/>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row>
    <row r="614" ht="15.75" customHeight="1">
      <c r="A614" s="5"/>
      <c r="B614" s="5"/>
      <c r="C614" s="5"/>
      <c r="D614" s="5"/>
      <c r="E614" s="5"/>
      <c r="F614" s="5"/>
      <c r="G614" s="5"/>
      <c r="H614" s="5"/>
      <c r="I614" s="10"/>
      <c r="J614" s="10"/>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row>
    <row r="615" ht="15.75" customHeight="1">
      <c r="A615" s="5"/>
      <c r="B615" s="5"/>
      <c r="C615" s="5"/>
      <c r="D615" s="5"/>
      <c r="E615" s="5"/>
      <c r="F615" s="5"/>
      <c r="G615" s="5"/>
      <c r="H615" s="5"/>
      <c r="I615" s="10"/>
      <c r="J615" s="10"/>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row>
    <row r="616" ht="15.75" customHeight="1">
      <c r="A616" s="5"/>
      <c r="B616" s="5"/>
      <c r="C616" s="5"/>
      <c r="D616" s="5"/>
      <c r="E616" s="5"/>
      <c r="F616" s="5"/>
      <c r="G616" s="5"/>
      <c r="H616" s="5"/>
      <c r="I616" s="10"/>
      <c r="J616" s="10"/>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row>
    <row r="617" ht="15.75" customHeight="1">
      <c r="A617" s="5"/>
      <c r="B617" s="5"/>
      <c r="C617" s="5"/>
      <c r="D617" s="5"/>
      <c r="E617" s="5"/>
      <c r="F617" s="5"/>
      <c r="G617" s="5"/>
      <c r="H617" s="5"/>
      <c r="I617" s="10"/>
      <c r="J617" s="10"/>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row>
    <row r="618" ht="15.75" customHeight="1">
      <c r="A618" s="5"/>
      <c r="B618" s="5"/>
      <c r="C618" s="5"/>
      <c r="D618" s="5"/>
      <c r="E618" s="5"/>
      <c r="F618" s="5"/>
      <c r="G618" s="5"/>
      <c r="H618" s="5"/>
      <c r="I618" s="10"/>
      <c r="J618" s="10"/>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row>
    <row r="619" ht="15.75" customHeight="1">
      <c r="A619" s="5"/>
      <c r="B619" s="5"/>
      <c r="C619" s="5"/>
      <c r="D619" s="5"/>
      <c r="E619" s="5"/>
      <c r="F619" s="5"/>
      <c r="G619" s="5"/>
      <c r="H619" s="5"/>
      <c r="I619" s="10"/>
      <c r="J619" s="10"/>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row>
    <row r="620" ht="15.75" customHeight="1">
      <c r="A620" s="5"/>
      <c r="B620" s="5"/>
      <c r="C620" s="5"/>
      <c r="D620" s="5"/>
      <c r="E620" s="5"/>
      <c r="F620" s="5"/>
      <c r="G620" s="5"/>
      <c r="H620" s="5"/>
      <c r="I620" s="10"/>
      <c r="J620" s="10"/>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row>
    <row r="621" ht="15.75" customHeight="1">
      <c r="A621" s="5"/>
      <c r="B621" s="5"/>
      <c r="C621" s="5"/>
      <c r="D621" s="5"/>
      <c r="E621" s="5"/>
      <c r="F621" s="5"/>
      <c r="G621" s="5"/>
      <c r="H621" s="5"/>
      <c r="I621" s="10"/>
      <c r="J621" s="10"/>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row>
    <row r="622" ht="15.75" customHeight="1">
      <c r="A622" s="5"/>
      <c r="B622" s="5"/>
      <c r="C622" s="5"/>
      <c r="D622" s="5"/>
      <c r="E622" s="5"/>
      <c r="F622" s="5"/>
      <c r="G622" s="5"/>
      <c r="H622" s="5"/>
      <c r="I622" s="10"/>
      <c r="J622" s="10"/>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row>
    <row r="623" ht="15.75" customHeight="1">
      <c r="A623" s="5"/>
      <c r="B623" s="5"/>
      <c r="C623" s="5"/>
      <c r="D623" s="5"/>
      <c r="E623" s="5"/>
      <c r="F623" s="5"/>
      <c r="G623" s="5"/>
      <c r="H623" s="5"/>
      <c r="I623" s="10"/>
      <c r="J623" s="10"/>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row>
    <row r="624" ht="15.75" customHeight="1">
      <c r="A624" s="5"/>
      <c r="B624" s="5"/>
      <c r="C624" s="5"/>
      <c r="D624" s="5"/>
      <c r="E624" s="5"/>
      <c r="F624" s="5"/>
      <c r="G624" s="5"/>
      <c r="H624" s="5"/>
      <c r="I624" s="10"/>
      <c r="J624" s="10"/>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row>
    <row r="625" ht="15.75" customHeight="1">
      <c r="A625" s="5"/>
      <c r="B625" s="5"/>
      <c r="C625" s="5"/>
      <c r="D625" s="5"/>
      <c r="E625" s="5"/>
      <c r="F625" s="5"/>
      <c r="G625" s="5"/>
      <c r="H625" s="5"/>
      <c r="I625" s="10"/>
      <c r="J625" s="10"/>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row>
    <row r="626" ht="15.75" customHeight="1">
      <c r="A626" s="5"/>
      <c r="B626" s="5"/>
      <c r="C626" s="5"/>
      <c r="D626" s="5"/>
      <c r="E626" s="5"/>
      <c r="F626" s="5"/>
      <c r="G626" s="5"/>
      <c r="H626" s="5"/>
      <c r="I626" s="10"/>
      <c r="J626" s="10"/>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row>
    <row r="627" ht="15.75" customHeight="1">
      <c r="A627" s="5"/>
      <c r="B627" s="5"/>
      <c r="C627" s="5"/>
      <c r="D627" s="5"/>
      <c r="E627" s="5"/>
      <c r="F627" s="5"/>
      <c r="G627" s="5"/>
      <c r="H627" s="5"/>
      <c r="I627" s="10"/>
      <c r="J627" s="10"/>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row>
    <row r="628" ht="15.75" customHeight="1">
      <c r="A628" s="5"/>
      <c r="B628" s="5"/>
      <c r="C628" s="5"/>
      <c r="D628" s="5"/>
      <c r="E628" s="5"/>
      <c r="F628" s="5"/>
      <c r="G628" s="5"/>
      <c r="H628" s="5"/>
      <c r="I628" s="10"/>
      <c r="J628" s="10"/>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row>
    <row r="629" ht="15.75" customHeight="1">
      <c r="A629" s="5"/>
      <c r="B629" s="5"/>
      <c r="C629" s="5"/>
      <c r="D629" s="5"/>
      <c r="E629" s="5"/>
      <c r="F629" s="5"/>
      <c r="G629" s="5"/>
      <c r="H629" s="5"/>
      <c r="I629" s="10"/>
      <c r="J629" s="10"/>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row>
    <row r="630" ht="15.75" customHeight="1">
      <c r="A630" s="5"/>
      <c r="B630" s="5"/>
      <c r="C630" s="5"/>
      <c r="D630" s="5"/>
      <c r="E630" s="5"/>
      <c r="F630" s="5"/>
      <c r="G630" s="5"/>
      <c r="H630" s="5"/>
      <c r="I630" s="10"/>
      <c r="J630" s="10"/>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row>
    <row r="631" ht="15.75" customHeight="1">
      <c r="A631" s="5"/>
      <c r="B631" s="5"/>
      <c r="C631" s="5"/>
      <c r="D631" s="5"/>
      <c r="E631" s="5"/>
      <c r="F631" s="5"/>
      <c r="G631" s="5"/>
      <c r="H631" s="5"/>
      <c r="I631" s="10"/>
      <c r="J631" s="10"/>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row>
    <row r="632" ht="15.75" customHeight="1">
      <c r="A632" s="5"/>
      <c r="B632" s="5"/>
      <c r="C632" s="5"/>
      <c r="D632" s="5"/>
      <c r="E632" s="5"/>
      <c r="F632" s="5"/>
      <c r="G632" s="5"/>
      <c r="H632" s="5"/>
      <c r="I632" s="10"/>
      <c r="J632" s="10"/>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row>
    <row r="633" ht="15.75" customHeight="1">
      <c r="A633" s="5"/>
      <c r="B633" s="5"/>
      <c r="C633" s="5"/>
      <c r="D633" s="5"/>
      <c r="E633" s="5"/>
      <c r="F633" s="5"/>
      <c r="G633" s="5"/>
      <c r="H633" s="5"/>
      <c r="I633" s="10"/>
      <c r="J633" s="10"/>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row>
    <row r="634" ht="15.75" customHeight="1">
      <c r="A634" s="5"/>
      <c r="B634" s="5"/>
      <c r="C634" s="5"/>
      <c r="D634" s="5"/>
      <c r="E634" s="5"/>
      <c r="F634" s="5"/>
      <c r="G634" s="5"/>
      <c r="H634" s="5"/>
      <c r="I634" s="10"/>
      <c r="J634" s="10"/>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row>
    <row r="635" ht="15.75" customHeight="1">
      <c r="A635" s="5"/>
      <c r="B635" s="5"/>
      <c r="C635" s="5"/>
      <c r="D635" s="5"/>
      <c r="E635" s="5"/>
      <c r="F635" s="5"/>
      <c r="G635" s="5"/>
      <c r="H635" s="5"/>
      <c r="I635" s="10"/>
      <c r="J635" s="10"/>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row>
    <row r="636" ht="15.75" customHeight="1">
      <c r="A636" s="5"/>
      <c r="B636" s="5"/>
      <c r="C636" s="5"/>
      <c r="D636" s="5"/>
      <c r="E636" s="5"/>
      <c r="F636" s="5"/>
      <c r="G636" s="5"/>
      <c r="H636" s="5"/>
      <c r="I636" s="10"/>
      <c r="J636" s="10"/>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row>
    <row r="637" ht="15.75" customHeight="1">
      <c r="A637" s="5"/>
      <c r="B637" s="5"/>
      <c r="C637" s="5"/>
      <c r="D637" s="5"/>
      <c r="E637" s="5"/>
      <c r="F637" s="5"/>
      <c r="G637" s="5"/>
      <c r="H637" s="5"/>
      <c r="I637" s="10"/>
      <c r="J637" s="10"/>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row>
    <row r="638" ht="15.75" customHeight="1">
      <c r="A638" s="5"/>
      <c r="B638" s="5"/>
      <c r="C638" s="5"/>
      <c r="D638" s="5"/>
      <c r="E638" s="5"/>
      <c r="F638" s="5"/>
      <c r="G638" s="5"/>
      <c r="H638" s="5"/>
      <c r="I638" s="10"/>
      <c r="J638" s="10"/>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row>
    <row r="639" ht="15.75" customHeight="1">
      <c r="A639" s="5"/>
      <c r="B639" s="5"/>
      <c r="C639" s="5"/>
      <c r="D639" s="5"/>
      <c r="E639" s="5"/>
      <c r="F639" s="5"/>
      <c r="G639" s="5"/>
      <c r="H639" s="5"/>
      <c r="I639" s="10"/>
      <c r="J639" s="10"/>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row>
    <row r="640" ht="15.75" customHeight="1">
      <c r="A640" s="5"/>
      <c r="B640" s="5"/>
      <c r="C640" s="5"/>
      <c r="D640" s="5"/>
      <c r="E640" s="5"/>
      <c r="F640" s="5"/>
      <c r="G640" s="5"/>
      <c r="H640" s="5"/>
      <c r="I640" s="10"/>
      <c r="J640" s="10"/>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row>
    <row r="641" ht="15.75" customHeight="1">
      <c r="A641" s="5"/>
      <c r="B641" s="5"/>
      <c r="C641" s="5"/>
      <c r="D641" s="5"/>
      <c r="E641" s="5"/>
      <c r="F641" s="5"/>
      <c r="G641" s="5"/>
      <c r="H641" s="5"/>
      <c r="I641" s="10"/>
      <c r="J641" s="10"/>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row>
    <row r="642" ht="15.75" customHeight="1">
      <c r="A642" s="5"/>
      <c r="B642" s="5"/>
      <c r="C642" s="5"/>
      <c r="D642" s="5"/>
      <c r="E642" s="5"/>
      <c r="F642" s="5"/>
      <c r="G642" s="5"/>
      <c r="H642" s="5"/>
      <c r="I642" s="10"/>
      <c r="J642" s="10"/>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row>
    <row r="643" ht="15.75" customHeight="1">
      <c r="A643" s="5"/>
      <c r="B643" s="5"/>
      <c r="C643" s="5"/>
      <c r="D643" s="5"/>
      <c r="E643" s="5"/>
      <c r="F643" s="5"/>
      <c r="G643" s="5"/>
      <c r="H643" s="5"/>
      <c r="I643" s="10"/>
      <c r="J643" s="10"/>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row>
    <row r="644" ht="15.75" customHeight="1">
      <c r="A644" s="5"/>
      <c r="B644" s="5"/>
      <c r="C644" s="5"/>
      <c r="D644" s="5"/>
      <c r="E644" s="5"/>
      <c r="F644" s="5"/>
      <c r="G644" s="5"/>
      <c r="H644" s="5"/>
      <c r="I644" s="10"/>
      <c r="J644" s="10"/>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row>
    <row r="645" ht="15.75" customHeight="1">
      <c r="A645" s="5"/>
      <c r="B645" s="5"/>
      <c r="C645" s="5"/>
      <c r="D645" s="5"/>
      <c r="E645" s="5"/>
      <c r="F645" s="5"/>
      <c r="G645" s="5"/>
      <c r="H645" s="5"/>
      <c r="I645" s="10"/>
      <c r="J645" s="10"/>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row>
    <row r="646" ht="15.75" customHeight="1">
      <c r="A646" s="5"/>
      <c r="B646" s="5"/>
      <c r="C646" s="5"/>
      <c r="D646" s="5"/>
      <c r="E646" s="5"/>
      <c r="F646" s="5"/>
      <c r="G646" s="5"/>
      <c r="H646" s="5"/>
      <c r="I646" s="10"/>
      <c r="J646" s="10"/>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row>
    <row r="647" ht="15.75" customHeight="1">
      <c r="A647" s="5"/>
      <c r="B647" s="5"/>
      <c r="C647" s="5"/>
      <c r="D647" s="5"/>
      <c r="E647" s="5"/>
      <c r="F647" s="5"/>
      <c r="G647" s="5"/>
      <c r="H647" s="5"/>
      <c r="I647" s="10"/>
      <c r="J647" s="10"/>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row>
    <row r="648" ht="15.75" customHeight="1">
      <c r="A648" s="5"/>
      <c r="B648" s="5"/>
      <c r="C648" s="5"/>
      <c r="D648" s="5"/>
      <c r="E648" s="5"/>
      <c r="F648" s="5"/>
      <c r="G648" s="5"/>
      <c r="H648" s="5"/>
      <c r="I648" s="10"/>
      <c r="J648" s="10"/>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row>
    <row r="649" ht="15.75" customHeight="1">
      <c r="A649" s="5"/>
      <c r="B649" s="5"/>
      <c r="C649" s="5"/>
      <c r="D649" s="5"/>
      <c r="E649" s="5"/>
      <c r="F649" s="5"/>
      <c r="G649" s="5"/>
      <c r="H649" s="5"/>
      <c r="I649" s="10"/>
      <c r="J649" s="10"/>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row>
    <row r="650" ht="15.75" customHeight="1">
      <c r="A650" s="5"/>
      <c r="B650" s="5"/>
      <c r="C650" s="5"/>
      <c r="D650" s="5"/>
      <c r="E650" s="5"/>
      <c r="F650" s="5"/>
      <c r="G650" s="5"/>
      <c r="H650" s="5"/>
      <c r="I650" s="10"/>
      <c r="J650" s="10"/>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row>
    <row r="651" ht="15.75" customHeight="1">
      <c r="A651" s="5"/>
      <c r="B651" s="5"/>
      <c r="C651" s="5"/>
      <c r="D651" s="5"/>
      <c r="E651" s="5"/>
      <c r="F651" s="5"/>
      <c r="G651" s="5"/>
      <c r="H651" s="5"/>
      <c r="I651" s="10"/>
      <c r="J651" s="10"/>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row>
    <row r="652" ht="15.75" customHeight="1">
      <c r="A652" s="5"/>
      <c r="B652" s="5"/>
      <c r="C652" s="5"/>
      <c r="D652" s="5"/>
      <c r="E652" s="5"/>
      <c r="F652" s="5"/>
      <c r="G652" s="5"/>
      <c r="H652" s="5"/>
      <c r="I652" s="10"/>
      <c r="J652" s="10"/>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row>
    <row r="653" ht="15.75" customHeight="1">
      <c r="A653" s="5"/>
      <c r="B653" s="5"/>
      <c r="C653" s="5"/>
      <c r="D653" s="5"/>
      <c r="E653" s="5"/>
      <c r="F653" s="5"/>
      <c r="G653" s="5"/>
      <c r="H653" s="5"/>
      <c r="I653" s="10"/>
      <c r="J653" s="10"/>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row>
    <row r="654" ht="15.75" customHeight="1">
      <c r="A654" s="5"/>
      <c r="B654" s="5"/>
      <c r="C654" s="5"/>
      <c r="D654" s="5"/>
      <c r="E654" s="5"/>
      <c r="F654" s="5"/>
      <c r="G654" s="5"/>
      <c r="H654" s="5"/>
      <c r="I654" s="10"/>
      <c r="J654" s="10"/>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row>
    <row r="655" ht="15.75" customHeight="1">
      <c r="A655" s="5"/>
      <c r="B655" s="5"/>
      <c r="C655" s="5"/>
      <c r="D655" s="5"/>
      <c r="E655" s="5"/>
      <c r="F655" s="5"/>
      <c r="G655" s="5"/>
      <c r="H655" s="5"/>
      <c r="I655" s="10"/>
      <c r="J655" s="10"/>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row>
    <row r="656" ht="15.75" customHeight="1">
      <c r="A656" s="5"/>
      <c r="B656" s="5"/>
      <c r="C656" s="5"/>
      <c r="D656" s="5"/>
      <c r="E656" s="5"/>
      <c r="F656" s="5"/>
      <c r="G656" s="5"/>
      <c r="H656" s="5"/>
      <c r="I656" s="10"/>
      <c r="J656" s="10"/>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row>
    <row r="657" ht="15.75" customHeight="1">
      <c r="A657" s="5"/>
      <c r="B657" s="5"/>
      <c r="C657" s="5"/>
      <c r="D657" s="5"/>
      <c r="E657" s="5"/>
      <c r="F657" s="5"/>
      <c r="G657" s="5"/>
      <c r="H657" s="5"/>
      <c r="I657" s="10"/>
      <c r="J657" s="10"/>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row>
    <row r="658" ht="15.75" customHeight="1">
      <c r="A658" s="5"/>
      <c r="B658" s="5"/>
      <c r="C658" s="5"/>
      <c r="D658" s="5"/>
      <c r="E658" s="5"/>
      <c r="F658" s="5"/>
      <c r="G658" s="5"/>
      <c r="H658" s="5"/>
      <c r="I658" s="10"/>
      <c r="J658" s="10"/>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row>
    <row r="659" ht="15.75" customHeight="1">
      <c r="A659" s="5"/>
      <c r="B659" s="5"/>
      <c r="C659" s="5"/>
      <c r="D659" s="5"/>
      <c r="E659" s="5"/>
      <c r="F659" s="5"/>
      <c r="G659" s="5"/>
      <c r="H659" s="5"/>
      <c r="I659" s="10"/>
      <c r="J659" s="10"/>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row>
    <row r="660" ht="15.75" customHeight="1">
      <c r="A660" s="5"/>
      <c r="B660" s="5"/>
      <c r="C660" s="5"/>
      <c r="D660" s="5"/>
      <c r="E660" s="5"/>
      <c r="F660" s="5"/>
      <c r="G660" s="5"/>
      <c r="H660" s="5"/>
      <c r="I660" s="10"/>
      <c r="J660" s="10"/>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row>
    <row r="661" ht="15.75" customHeight="1">
      <c r="A661" s="5"/>
      <c r="B661" s="5"/>
      <c r="C661" s="5"/>
      <c r="D661" s="5"/>
      <c r="E661" s="5"/>
      <c r="F661" s="5"/>
      <c r="G661" s="5"/>
      <c r="H661" s="5"/>
      <c r="I661" s="10"/>
      <c r="J661" s="10"/>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row>
    <row r="662" ht="15.75" customHeight="1">
      <c r="A662" s="5"/>
      <c r="B662" s="5"/>
      <c r="C662" s="5"/>
      <c r="D662" s="5"/>
      <c r="E662" s="5"/>
      <c r="F662" s="5"/>
      <c r="G662" s="5"/>
      <c r="H662" s="5"/>
      <c r="I662" s="10"/>
      <c r="J662" s="10"/>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row>
    <row r="663" ht="15.75" customHeight="1">
      <c r="A663" s="5"/>
      <c r="B663" s="5"/>
      <c r="C663" s="5"/>
      <c r="D663" s="5"/>
      <c r="E663" s="5"/>
      <c r="F663" s="5"/>
      <c r="G663" s="5"/>
      <c r="H663" s="5"/>
      <c r="I663" s="10"/>
      <c r="J663" s="10"/>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row>
    <row r="664" ht="15.75" customHeight="1">
      <c r="A664" s="5"/>
      <c r="B664" s="5"/>
      <c r="C664" s="5"/>
      <c r="D664" s="5"/>
      <c r="E664" s="5"/>
      <c r="F664" s="5"/>
      <c r="G664" s="5"/>
      <c r="H664" s="5"/>
      <c r="I664" s="10"/>
      <c r="J664" s="10"/>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row>
    <row r="665" ht="15.75" customHeight="1">
      <c r="A665" s="5"/>
      <c r="B665" s="5"/>
      <c r="C665" s="5"/>
      <c r="D665" s="5"/>
      <c r="E665" s="5"/>
      <c r="F665" s="5"/>
      <c r="G665" s="5"/>
      <c r="H665" s="5"/>
      <c r="I665" s="10"/>
      <c r="J665" s="10"/>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row>
    <row r="666" ht="15.75" customHeight="1">
      <c r="A666" s="5"/>
      <c r="B666" s="5"/>
      <c r="C666" s="5"/>
      <c r="D666" s="5"/>
      <c r="E666" s="5"/>
      <c r="F666" s="5"/>
      <c r="G666" s="5"/>
      <c r="H666" s="5"/>
      <c r="I666" s="10"/>
      <c r="J666" s="10"/>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row>
    <row r="667" ht="15.75" customHeight="1">
      <c r="A667" s="5"/>
      <c r="B667" s="5"/>
      <c r="C667" s="5"/>
      <c r="D667" s="5"/>
      <c r="E667" s="5"/>
      <c r="F667" s="5"/>
      <c r="G667" s="5"/>
      <c r="H667" s="5"/>
      <c r="I667" s="10"/>
      <c r="J667" s="10"/>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row>
    <row r="668" ht="15.75" customHeight="1">
      <c r="A668" s="5"/>
      <c r="B668" s="5"/>
      <c r="C668" s="5"/>
      <c r="D668" s="5"/>
      <c r="E668" s="5"/>
      <c r="F668" s="5"/>
      <c r="G668" s="5"/>
      <c r="H668" s="5"/>
      <c r="I668" s="10"/>
      <c r="J668" s="10"/>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row>
    <row r="669" ht="15.75" customHeight="1">
      <c r="A669" s="5"/>
      <c r="B669" s="5"/>
      <c r="C669" s="5"/>
      <c r="D669" s="5"/>
      <c r="E669" s="5"/>
      <c r="F669" s="5"/>
      <c r="G669" s="5"/>
      <c r="H669" s="5"/>
      <c r="I669" s="10"/>
      <c r="J669" s="10"/>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row>
    <row r="670" ht="15.75" customHeight="1">
      <c r="A670" s="5"/>
      <c r="B670" s="5"/>
      <c r="C670" s="5"/>
      <c r="D670" s="5"/>
      <c r="E670" s="5"/>
      <c r="F670" s="5"/>
      <c r="G670" s="5"/>
      <c r="H670" s="5"/>
      <c r="I670" s="10"/>
      <c r="J670" s="10"/>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row>
    <row r="671" ht="15.75" customHeight="1">
      <c r="A671" s="5"/>
      <c r="B671" s="5"/>
      <c r="C671" s="5"/>
      <c r="D671" s="5"/>
      <c r="E671" s="5"/>
      <c r="F671" s="5"/>
      <c r="G671" s="5"/>
      <c r="H671" s="5"/>
      <c r="I671" s="10"/>
      <c r="J671" s="10"/>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row>
    <row r="672" ht="15.75" customHeight="1">
      <c r="A672" s="5"/>
      <c r="B672" s="5"/>
      <c r="C672" s="5"/>
      <c r="D672" s="5"/>
      <c r="E672" s="5"/>
      <c r="F672" s="5"/>
      <c r="G672" s="5"/>
      <c r="H672" s="5"/>
      <c r="I672" s="10"/>
      <c r="J672" s="10"/>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row>
    <row r="673" ht="15.75" customHeight="1">
      <c r="A673" s="5"/>
      <c r="B673" s="5"/>
      <c r="C673" s="5"/>
      <c r="D673" s="5"/>
      <c r="E673" s="5"/>
      <c r="F673" s="5"/>
      <c r="G673" s="5"/>
      <c r="H673" s="5"/>
      <c r="I673" s="10"/>
      <c r="J673" s="10"/>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row>
    <row r="674" ht="15.75" customHeight="1">
      <c r="A674" s="5"/>
      <c r="B674" s="5"/>
      <c r="C674" s="5"/>
      <c r="D674" s="5"/>
      <c r="E674" s="5"/>
      <c r="F674" s="5"/>
      <c r="G674" s="5"/>
      <c r="H674" s="5"/>
      <c r="I674" s="10"/>
      <c r="J674" s="10"/>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row>
    <row r="675" ht="15.75" customHeight="1">
      <c r="A675" s="5"/>
      <c r="B675" s="5"/>
      <c r="C675" s="5"/>
      <c r="D675" s="5"/>
      <c r="E675" s="5"/>
      <c r="F675" s="5"/>
      <c r="G675" s="5"/>
      <c r="H675" s="5"/>
      <c r="I675" s="10"/>
      <c r="J675" s="10"/>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row>
    <row r="676" ht="15.75" customHeight="1">
      <c r="A676" s="5"/>
      <c r="B676" s="5"/>
      <c r="C676" s="5"/>
      <c r="D676" s="5"/>
      <c r="E676" s="5"/>
      <c r="F676" s="5"/>
      <c r="G676" s="5"/>
      <c r="H676" s="5"/>
      <c r="I676" s="10"/>
      <c r="J676" s="10"/>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row>
    <row r="677" ht="15.75" customHeight="1">
      <c r="A677" s="5"/>
      <c r="B677" s="5"/>
      <c r="C677" s="5"/>
      <c r="D677" s="5"/>
      <c r="E677" s="5"/>
      <c r="F677" s="5"/>
      <c r="G677" s="5"/>
      <c r="H677" s="5"/>
      <c r="I677" s="10"/>
      <c r="J677" s="10"/>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row>
    <row r="678" ht="15.75" customHeight="1">
      <c r="A678" s="5"/>
      <c r="B678" s="5"/>
      <c r="C678" s="5"/>
      <c r="D678" s="5"/>
      <c r="E678" s="5"/>
      <c r="F678" s="5"/>
      <c r="G678" s="5"/>
      <c r="H678" s="5"/>
      <c r="I678" s="10"/>
      <c r="J678" s="10"/>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row>
    <row r="679" ht="15.75" customHeight="1">
      <c r="A679" s="5"/>
      <c r="B679" s="5"/>
      <c r="C679" s="5"/>
      <c r="D679" s="5"/>
      <c r="E679" s="5"/>
      <c r="F679" s="5"/>
      <c r="G679" s="5"/>
      <c r="H679" s="5"/>
      <c r="I679" s="10"/>
      <c r="J679" s="10"/>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row>
    <row r="680" ht="15.75" customHeight="1">
      <c r="A680" s="5"/>
      <c r="B680" s="5"/>
      <c r="C680" s="5"/>
      <c r="D680" s="5"/>
      <c r="E680" s="5"/>
      <c r="F680" s="5"/>
      <c r="G680" s="5"/>
      <c r="H680" s="5"/>
      <c r="I680" s="10"/>
      <c r="J680" s="10"/>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row>
    <row r="681" ht="15.75" customHeight="1">
      <c r="A681" s="5"/>
      <c r="B681" s="5"/>
      <c r="C681" s="5"/>
      <c r="D681" s="5"/>
      <c r="E681" s="5"/>
      <c r="F681" s="5"/>
      <c r="G681" s="5"/>
      <c r="H681" s="5"/>
      <c r="I681" s="10"/>
      <c r="J681" s="10"/>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row>
    <row r="682" ht="15.75" customHeight="1">
      <c r="A682" s="5"/>
      <c r="B682" s="5"/>
      <c r="C682" s="5"/>
      <c r="D682" s="5"/>
      <c r="E682" s="5"/>
      <c r="F682" s="5"/>
      <c r="G682" s="5"/>
      <c r="H682" s="5"/>
      <c r="I682" s="10"/>
      <c r="J682" s="10"/>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row>
    <row r="683" ht="15.75" customHeight="1">
      <c r="A683" s="5"/>
      <c r="B683" s="5"/>
      <c r="C683" s="5"/>
      <c r="D683" s="5"/>
      <c r="E683" s="5"/>
      <c r="F683" s="5"/>
      <c r="G683" s="5"/>
      <c r="H683" s="5"/>
      <c r="I683" s="10"/>
      <c r="J683" s="10"/>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row>
    <row r="684" ht="15.75" customHeight="1">
      <c r="A684" s="5"/>
      <c r="B684" s="5"/>
      <c r="C684" s="5"/>
      <c r="D684" s="5"/>
      <c r="E684" s="5"/>
      <c r="F684" s="5"/>
      <c r="G684" s="5"/>
      <c r="H684" s="5"/>
      <c r="I684" s="10"/>
      <c r="J684" s="10"/>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row>
    <row r="685" ht="15.75" customHeight="1">
      <c r="A685" s="5"/>
      <c r="B685" s="5"/>
      <c r="C685" s="5"/>
      <c r="D685" s="5"/>
      <c r="E685" s="5"/>
      <c r="F685" s="5"/>
      <c r="G685" s="5"/>
      <c r="H685" s="5"/>
      <c r="I685" s="10"/>
      <c r="J685" s="10"/>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row>
    <row r="686" ht="15.75" customHeight="1">
      <c r="A686" s="5"/>
      <c r="B686" s="5"/>
      <c r="C686" s="5"/>
      <c r="D686" s="5"/>
      <c r="E686" s="5"/>
      <c r="F686" s="5"/>
      <c r="G686" s="5"/>
      <c r="H686" s="5"/>
      <c r="I686" s="10"/>
      <c r="J686" s="10"/>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row>
    <row r="687" ht="15.75" customHeight="1">
      <c r="A687" s="5"/>
      <c r="B687" s="5"/>
      <c r="C687" s="5"/>
      <c r="D687" s="5"/>
      <c r="E687" s="5"/>
      <c r="F687" s="5"/>
      <c r="G687" s="5"/>
      <c r="H687" s="5"/>
      <c r="I687" s="10"/>
      <c r="J687" s="10"/>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row>
    <row r="688" ht="15.75" customHeight="1">
      <c r="A688" s="5"/>
      <c r="B688" s="5"/>
      <c r="C688" s="5"/>
      <c r="D688" s="5"/>
      <c r="E688" s="5"/>
      <c r="F688" s="5"/>
      <c r="G688" s="5"/>
      <c r="H688" s="5"/>
      <c r="I688" s="10"/>
      <c r="J688" s="10"/>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row>
    <row r="689" ht="15.75" customHeight="1">
      <c r="A689" s="5"/>
      <c r="B689" s="5"/>
      <c r="C689" s="5"/>
      <c r="D689" s="5"/>
      <c r="E689" s="5"/>
      <c r="F689" s="5"/>
      <c r="G689" s="5"/>
      <c r="H689" s="5"/>
      <c r="I689" s="10"/>
      <c r="J689" s="10"/>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row>
    <row r="690" ht="15.75" customHeight="1">
      <c r="A690" s="5"/>
      <c r="B690" s="5"/>
      <c r="C690" s="5"/>
      <c r="D690" s="5"/>
      <c r="E690" s="5"/>
      <c r="F690" s="5"/>
      <c r="G690" s="5"/>
      <c r="H690" s="5"/>
      <c r="I690" s="10"/>
      <c r="J690" s="10"/>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row>
    <row r="691" ht="15.75" customHeight="1">
      <c r="A691" s="5"/>
      <c r="B691" s="5"/>
      <c r="C691" s="5"/>
      <c r="D691" s="5"/>
      <c r="E691" s="5"/>
      <c r="F691" s="5"/>
      <c r="G691" s="5"/>
      <c r="H691" s="5"/>
      <c r="I691" s="10"/>
      <c r="J691" s="10"/>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row>
    <row r="692" ht="15.75" customHeight="1">
      <c r="A692" s="5"/>
      <c r="B692" s="5"/>
      <c r="C692" s="5"/>
      <c r="D692" s="5"/>
      <c r="E692" s="5"/>
      <c r="F692" s="5"/>
      <c r="G692" s="5"/>
      <c r="H692" s="5"/>
      <c r="I692" s="10"/>
      <c r="J692" s="10"/>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row>
    <row r="693" ht="15.75" customHeight="1">
      <c r="A693" s="5"/>
      <c r="B693" s="5"/>
      <c r="C693" s="5"/>
      <c r="D693" s="5"/>
      <c r="E693" s="5"/>
      <c r="F693" s="5"/>
      <c r="G693" s="5"/>
      <c r="H693" s="5"/>
      <c r="I693" s="10"/>
      <c r="J693" s="10"/>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row>
    <row r="694" ht="15.75" customHeight="1">
      <c r="A694" s="5"/>
      <c r="B694" s="5"/>
      <c r="C694" s="5"/>
      <c r="D694" s="5"/>
      <c r="E694" s="5"/>
      <c r="F694" s="5"/>
      <c r="G694" s="5"/>
      <c r="H694" s="5"/>
      <c r="I694" s="10"/>
      <c r="J694" s="10"/>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row>
    <row r="695" ht="15.75" customHeight="1">
      <c r="A695" s="5"/>
      <c r="B695" s="5"/>
      <c r="C695" s="5"/>
      <c r="D695" s="5"/>
      <c r="E695" s="5"/>
      <c r="F695" s="5"/>
      <c r="G695" s="5"/>
      <c r="H695" s="5"/>
      <c r="I695" s="10"/>
      <c r="J695" s="10"/>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row>
    <row r="696" ht="15.75" customHeight="1">
      <c r="A696" s="5"/>
      <c r="B696" s="5"/>
      <c r="C696" s="5"/>
      <c r="D696" s="5"/>
      <c r="E696" s="5"/>
      <c r="F696" s="5"/>
      <c r="G696" s="5"/>
      <c r="H696" s="5"/>
      <c r="I696" s="10"/>
      <c r="J696" s="10"/>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row>
    <row r="697" ht="15.75" customHeight="1">
      <c r="A697" s="5"/>
      <c r="B697" s="5"/>
      <c r="C697" s="5"/>
      <c r="D697" s="5"/>
      <c r="E697" s="5"/>
      <c r="F697" s="5"/>
      <c r="G697" s="5"/>
      <c r="H697" s="5"/>
      <c r="I697" s="10"/>
      <c r="J697" s="10"/>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row>
    <row r="698" ht="15.75" customHeight="1">
      <c r="A698" s="5"/>
      <c r="B698" s="5"/>
      <c r="C698" s="5"/>
      <c r="D698" s="5"/>
      <c r="E698" s="5"/>
      <c r="F698" s="5"/>
      <c r="G698" s="5"/>
      <c r="H698" s="5"/>
      <c r="I698" s="10"/>
      <c r="J698" s="10"/>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row>
    <row r="699" ht="15.75" customHeight="1">
      <c r="A699" s="5"/>
      <c r="B699" s="5"/>
      <c r="C699" s="5"/>
      <c r="D699" s="5"/>
      <c r="E699" s="5"/>
      <c r="F699" s="5"/>
      <c r="G699" s="5"/>
      <c r="H699" s="5"/>
      <c r="I699" s="10"/>
      <c r="J699" s="10"/>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row>
    <row r="700" ht="15.75" customHeight="1">
      <c r="A700" s="5"/>
      <c r="B700" s="5"/>
      <c r="C700" s="5"/>
      <c r="D700" s="5"/>
      <c r="E700" s="5"/>
      <c r="F700" s="5"/>
      <c r="G700" s="5"/>
      <c r="H700" s="5"/>
      <c r="I700" s="10"/>
      <c r="J700" s="10"/>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row>
    <row r="701" ht="15.75" customHeight="1">
      <c r="A701" s="5"/>
      <c r="B701" s="5"/>
      <c r="C701" s="5"/>
      <c r="D701" s="5"/>
      <c r="E701" s="5"/>
      <c r="F701" s="5"/>
      <c r="G701" s="5"/>
      <c r="H701" s="5"/>
      <c r="I701" s="10"/>
      <c r="J701" s="10"/>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row>
    <row r="702" ht="15.75" customHeight="1">
      <c r="A702" s="5"/>
      <c r="B702" s="5"/>
      <c r="C702" s="5"/>
      <c r="D702" s="5"/>
      <c r="E702" s="5"/>
      <c r="F702" s="5"/>
      <c r="G702" s="5"/>
      <c r="H702" s="5"/>
      <c r="I702" s="10"/>
      <c r="J702" s="10"/>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row>
    <row r="703" ht="15.75" customHeight="1">
      <c r="A703" s="5"/>
      <c r="B703" s="5"/>
      <c r="C703" s="5"/>
      <c r="D703" s="5"/>
      <c r="E703" s="5"/>
      <c r="F703" s="5"/>
      <c r="G703" s="5"/>
      <c r="H703" s="5"/>
      <c r="I703" s="10"/>
      <c r="J703" s="10"/>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row>
    <row r="704" ht="15.75" customHeight="1">
      <c r="A704" s="5"/>
      <c r="B704" s="5"/>
      <c r="C704" s="5"/>
      <c r="D704" s="5"/>
      <c r="E704" s="5"/>
      <c r="F704" s="5"/>
      <c r="G704" s="5"/>
      <c r="H704" s="5"/>
      <c r="I704" s="10"/>
      <c r="J704" s="10"/>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row>
    <row r="705" ht="15.75" customHeight="1">
      <c r="A705" s="5"/>
      <c r="B705" s="5"/>
      <c r="C705" s="5"/>
      <c r="D705" s="5"/>
      <c r="E705" s="5"/>
      <c r="F705" s="5"/>
      <c r="G705" s="5"/>
      <c r="H705" s="5"/>
      <c r="I705" s="10"/>
      <c r="J705" s="10"/>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row>
    <row r="706" ht="15.75" customHeight="1">
      <c r="A706" s="5"/>
      <c r="B706" s="5"/>
      <c r="C706" s="5"/>
      <c r="D706" s="5"/>
      <c r="E706" s="5"/>
      <c r="F706" s="5"/>
      <c r="G706" s="5"/>
      <c r="H706" s="5"/>
      <c r="I706" s="10"/>
      <c r="J706" s="10"/>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row>
    <row r="707" ht="15.75" customHeight="1">
      <c r="A707" s="5"/>
      <c r="B707" s="5"/>
      <c r="C707" s="5"/>
      <c r="D707" s="5"/>
      <c r="E707" s="5"/>
      <c r="F707" s="5"/>
      <c r="G707" s="5"/>
      <c r="H707" s="5"/>
      <c r="I707" s="10"/>
      <c r="J707" s="10"/>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row>
    <row r="708" ht="15.75" customHeight="1">
      <c r="A708" s="5"/>
      <c r="B708" s="5"/>
      <c r="C708" s="5"/>
      <c r="D708" s="5"/>
      <c r="E708" s="5"/>
      <c r="F708" s="5"/>
      <c r="G708" s="5"/>
      <c r="H708" s="5"/>
      <c r="I708" s="10"/>
      <c r="J708" s="10"/>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row>
    <row r="709" ht="15.75" customHeight="1">
      <c r="A709" s="5"/>
      <c r="B709" s="5"/>
      <c r="C709" s="5"/>
      <c r="D709" s="5"/>
      <c r="E709" s="5"/>
      <c r="F709" s="5"/>
      <c r="G709" s="5"/>
      <c r="H709" s="5"/>
      <c r="I709" s="10"/>
      <c r="J709" s="10"/>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row>
    <row r="710" ht="15.75" customHeight="1">
      <c r="A710" s="5"/>
      <c r="B710" s="5"/>
      <c r="C710" s="5"/>
      <c r="D710" s="5"/>
      <c r="E710" s="5"/>
      <c r="F710" s="5"/>
      <c r="G710" s="5"/>
      <c r="H710" s="5"/>
      <c r="I710" s="10"/>
      <c r="J710" s="10"/>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row>
    <row r="711" ht="15.75" customHeight="1">
      <c r="A711" s="5"/>
      <c r="B711" s="5"/>
      <c r="C711" s="5"/>
      <c r="D711" s="5"/>
      <c r="E711" s="5"/>
      <c r="F711" s="5"/>
      <c r="G711" s="5"/>
      <c r="H711" s="5"/>
      <c r="I711" s="10"/>
      <c r="J711" s="10"/>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row>
    <row r="712" ht="15.75" customHeight="1">
      <c r="A712" s="5"/>
      <c r="B712" s="5"/>
      <c r="C712" s="5"/>
      <c r="D712" s="5"/>
      <c r="E712" s="5"/>
      <c r="F712" s="5"/>
      <c r="G712" s="5"/>
      <c r="H712" s="5"/>
      <c r="I712" s="10"/>
      <c r="J712" s="10"/>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row>
    <row r="713" ht="15.75" customHeight="1">
      <c r="A713" s="5"/>
      <c r="B713" s="5"/>
      <c r="C713" s="5"/>
      <c r="D713" s="5"/>
      <c r="E713" s="5"/>
      <c r="F713" s="5"/>
      <c r="G713" s="5"/>
      <c r="H713" s="5"/>
      <c r="I713" s="10"/>
      <c r="J713" s="10"/>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row>
    <row r="714" ht="15.75" customHeight="1">
      <c r="A714" s="5"/>
      <c r="B714" s="5"/>
      <c r="C714" s="5"/>
      <c r="D714" s="5"/>
      <c r="E714" s="5"/>
      <c r="F714" s="5"/>
      <c r="G714" s="5"/>
      <c r="H714" s="5"/>
      <c r="I714" s="10"/>
      <c r="J714" s="10"/>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row>
    <row r="715" ht="15.75" customHeight="1">
      <c r="A715" s="5"/>
      <c r="B715" s="5"/>
      <c r="C715" s="5"/>
      <c r="D715" s="5"/>
      <c r="E715" s="5"/>
      <c r="F715" s="5"/>
      <c r="G715" s="5"/>
      <c r="H715" s="5"/>
      <c r="I715" s="10"/>
      <c r="J715" s="10"/>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row>
    <row r="716" ht="15.75" customHeight="1">
      <c r="A716" s="5"/>
      <c r="B716" s="5"/>
      <c r="C716" s="5"/>
      <c r="D716" s="5"/>
      <c r="E716" s="5"/>
      <c r="F716" s="5"/>
      <c r="G716" s="5"/>
      <c r="H716" s="5"/>
      <c r="I716" s="10"/>
      <c r="J716" s="10"/>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row>
    <row r="717" ht="15.75" customHeight="1">
      <c r="A717" s="5"/>
      <c r="B717" s="5"/>
      <c r="C717" s="5"/>
      <c r="D717" s="5"/>
      <c r="E717" s="5"/>
      <c r="F717" s="5"/>
      <c r="G717" s="5"/>
      <c r="H717" s="5"/>
      <c r="I717" s="10"/>
      <c r="J717" s="10"/>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row>
    <row r="718" ht="15.75" customHeight="1">
      <c r="A718" s="5"/>
      <c r="B718" s="5"/>
      <c r="C718" s="5"/>
      <c r="D718" s="5"/>
      <c r="E718" s="5"/>
      <c r="F718" s="5"/>
      <c r="G718" s="5"/>
      <c r="H718" s="5"/>
      <c r="I718" s="10"/>
      <c r="J718" s="10"/>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row>
    <row r="719" ht="15.75" customHeight="1">
      <c r="A719" s="5"/>
      <c r="B719" s="5"/>
      <c r="C719" s="5"/>
      <c r="D719" s="5"/>
      <c r="E719" s="5"/>
      <c r="F719" s="5"/>
      <c r="G719" s="5"/>
      <c r="H719" s="5"/>
      <c r="I719" s="10"/>
      <c r="J719" s="10"/>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row>
    <row r="720" ht="15.75" customHeight="1">
      <c r="A720" s="5"/>
      <c r="B720" s="5"/>
      <c r="C720" s="5"/>
      <c r="D720" s="5"/>
      <c r="E720" s="5"/>
      <c r="F720" s="5"/>
      <c r="G720" s="5"/>
      <c r="H720" s="5"/>
      <c r="I720" s="10"/>
      <c r="J720" s="10"/>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row>
    <row r="721" ht="15.75" customHeight="1">
      <c r="A721" s="5"/>
      <c r="B721" s="5"/>
      <c r="C721" s="5"/>
      <c r="D721" s="5"/>
      <c r="E721" s="5"/>
      <c r="F721" s="5"/>
      <c r="G721" s="5"/>
      <c r="H721" s="5"/>
      <c r="I721" s="10"/>
      <c r="J721" s="10"/>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row>
    <row r="722" ht="15.75" customHeight="1">
      <c r="A722" s="5"/>
      <c r="B722" s="5"/>
      <c r="C722" s="5"/>
      <c r="D722" s="5"/>
      <c r="E722" s="5"/>
      <c r="F722" s="5"/>
      <c r="G722" s="5"/>
      <c r="H722" s="5"/>
      <c r="I722" s="10"/>
      <c r="J722" s="10"/>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row>
    <row r="723" ht="15.75" customHeight="1">
      <c r="A723" s="5"/>
      <c r="B723" s="5"/>
      <c r="C723" s="5"/>
      <c r="D723" s="5"/>
      <c r="E723" s="5"/>
      <c r="F723" s="5"/>
      <c r="G723" s="5"/>
      <c r="H723" s="5"/>
      <c r="I723" s="10"/>
      <c r="J723" s="10"/>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row>
    <row r="724" ht="15.75" customHeight="1">
      <c r="A724" s="5"/>
      <c r="B724" s="5"/>
      <c r="C724" s="5"/>
      <c r="D724" s="5"/>
      <c r="E724" s="5"/>
      <c r="F724" s="5"/>
      <c r="G724" s="5"/>
      <c r="H724" s="5"/>
      <c r="I724" s="10"/>
      <c r="J724" s="10"/>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row>
    <row r="725" ht="15.75" customHeight="1">
      <c r="A725" s="5"/>
      <c r="B725" s="5"/>
      <c r="C725" s="5"/>
      <c r="D725" s="5"/>
      <c r="E725" s="5"/>
      <c r="F725" s="5"/>
      <c r="G725" s="5"/>
      <c r="H725" s="5"/>
      <c r="I725" s="10"/>
      <c r="J725" s="10"/>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row>
    <row r="726" ht="15.75" customHeight="1">
      <c r="A726" s="5"/>
      <c r="B726" s="5"/>
      <c r="C726" s="5"/>
      <c r="D726" s="5"/>
      <c r="E726" s="5"/>
      <c r="F726" s="5"/>
      <c r="G726" s="5"/>
      <c r="H726" s="5"/>
      <c r="I726" s="10"/>
      <c r="J726" s="10"/>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row>
    <row r="727" ht="15.75" customHeight="1">
      <c r="A727" s="5"/>
      <c r="B727" s="5"/>
      <c r="C727" s="5"/>
      <c r="D727" s="5"/>
      <c r="E727" s="5"/>
      <c r="F727" s="5"/>
      <c r="G727" s="5"/>
      <c r="H727" s="5"/>
      <c r="I727" s="10"/>
      <c r="J727" s="10"/>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row>
    <row r="728" ht="15.75" customHeight="1">
      <c r="A728" s="5"/>
      <c r="B728" s="5"/>
      <c r="C728" s="5"/>
      <c r="D728" s="5"/>
      <c r="E728" s="5"/>
      <c r="F728" s="5"/>
      <c r="G728" s="5"/>
      <c r="H728" s="5"/>
      <c r="I728" s="10"/>
      <c r="J728" s="10"/>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row>
    <row r="729" ht="15.75" customHeight="1">
      <c r="A729" s="5"/>
      <c r="B729" s="5"/>
      <c r="C729" s="5"/>
      <c r="D729" s="5"/>
      <c r="E729" s="5"/>
      <c r="F729" s="5"/>
      <c r="G729" s="5"/>
      <c r="H729" s="5"/>
      <c r="I729" s="10"/>
      <c r="J729" s="10"/>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row>
    <row r="730" ht="15.75" customHeight="1">
      <c r="A730" s="5"/>
      <c r="B730" s="5"/>
      <c r="C730" s="5"/>
      <c r="D730" s="5"/>
      <c r="E730" s="5"/>
      <c r="F730" s="5"/>
      <c r="G730" s="5"/>
      <c r="H730" s="5"/>
      <c r="I730" s="10"/>
      <c r="J730" s="10"/>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row>
    <row r="731" ht="15.75" customHeight="1">
      <c r="A731" s="5"/>
      <c r="B731" s="5"/>
      <c r="C731" s="5"/>
      <c r="D731" s="5"/>
      <c r="E731" s="5"/>
      <c r="F731" s="5"/>
      <c r="G731" s="5"/>
      <c r="H731" s="5"/>
      <c r="I731" s="10"/>
      <c r="J731" s="10"/>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row>
    <row r="732" ht="15.75" customHeight="1">
      <c r="A732" s="5"/>
      <c r="B732" s="5"/>
      <c r="C732" s="5"/>
      <c r="D732" s="5"/>
      <c r="E732" s="5"/>
      <c r="F732" s="5"/>
      <c r="G732" s="5"/>
      <c r="H732" s="5"/>
      <c r="I732" s="10"/>
      <c r="J732" s="10"/>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row>
    <row r="733" ht="15.75" customHeight="1">
      <c r="A733" s="5"/>
      <c r="B733" s="5"/>
      <c r="C733" s="5"/>
      <c r="D733" s="5"/>
      <c r="E733" s="5"/>
      <c r="F733" s="5"/>
      <c r="G733" s="5"/>
      <c r="H733" s="5"/>
      <c r="I733" s="10"/>
      <c r="J733" s="10"/>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row>
    <row r="734" ht="15.75" customHeight="1">
      <c r="A734" s="5"/>
      <c r="B734" s="5"/>
      <c r="C734" s="5"/>
      <c r="D734" s="5"/>
      <c r="E734" s="5"/>
      <c r="F734" s="5"/>
      <c r="G734" s="5"/>
      <c r="H734" s="5"/>
      <c r="I734" s="10"/>
      <c r="J734" s="10"/>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row>
    <row r="735" ht="15.75" customHeight="1">
      <c r="A735" s="5"/>
      <c r="B735" s="5"/>
      <c r="C735" s="5"/>
      <c r="D735" s="5"/>
      <c r="E735" s="5"/>
      <c r="F735" s="5"/>
      <c r="G735" s="5"/>
      <c r="H735" s="5"/>
      <c r="I735" s="10"/>
      <c r="J735" s="10"/>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row>
    <row r="736" ht="15.75" customHeight="1">
      <c r="A736" s="5"/>
      <c r="B736" s="5"/>
      <c r="C736" s="5"/>
      <c r="D736" s="5"/>
      <c r="E736" s="5"/>
      <c r="F736" s="5"/>
      <c r="G736" s="5"/>
      <c r="H736" s="5"/>
      <c r="I736" s="10"/>
      <c r="J736" s="10"/>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row>
    <row r="737" ht="15.75" customHeight="1">
      <c r="A737" s="5"/>
      <c r="B737" s="5"/>
      <c r="C737" s="5"/>
      <c r="D737" s="5"/>
      <c r="E737" s="5"/>
      <c r="F737" s="5"/>
      <c r="G737" s="5"/>
      <c r="H737" s="5"/>
      <c r="I737" s="10"/>
      <c r="J737" s="10"/>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row>
    <row r="738" ht="15.75" customHeight="1">
      <c r="A738" s="5"/>
      <c r="B738" s="5"/>
      <c r="C738" s="5"/>
      <c r="D738" s="5"/>
      <c r="E738" s="5"/>
      <c r="F738" s="5"/>
      <c r="G738" s="5"/>
      <c r="H738" s="5"/>
      <c r="I738" s="10"/>
      <c r="J738" s="10"/>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row>
    <row r="739" ht="15.75" customHeight="1">
      <c r="A739" s="5"/>
      <c r="B739" s="5"/>
      <c r="C739" s="5"/>
      <c r="D739" s="5"/>
      <c r="E739" s="5"/>
      <c r="F739" s="5"/>
      <c r="G739" s="5"/>
      <c r="H739" s="5"/>
      <c r="I739" s="10"/>
      <c r="J739" s="10"/>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row>
    <row r="740" ht="15.75" customHeight="1">
      <c r="A740" s="5"/>
      <c r="B740" s="5"/>
      <c r="C740" s="5"/>
      <c r="D740" s="5"/>
      <c r="E740" s="5"/>
      <c r="F740" s="5"/>
      <c r="G740" s="5"/>
      <c r="H740" s="5"/>
      <c r="I740" s="10"/>
      <c r="J740" s="10"/>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row>
    <row r="741" ht="15.75" customHeight="1">
      <c r="A741" s="5"/>
      <c r="B741" s="5"/>
      <c r="C741" s="5"/>
      <c r="D741" s="5"/>
      <c r="E741" s="5"/>
      <c r="F741" s="5"/>
      <c r="G741" s="5"/>
      <c r="H741" s="5"/>
      <c r="I741" s="10"/>
      <c r="J741" s="10"/>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row>
    <row r="742" ht="15.75" customHeight="1">
      <c r="A742" s="5"/>
      <c r="B742" s="5"/>
      <c r="C742" s="5"/>
      <c r="D742" s="5"/>
      <c r="E742" s="5"/>
      <c r="F742" s="5"/>
      <c r="G742" s="5"/>
      <c r="H742" s="5"/>
      <c r="I742" s="10"/>
      <c r="J742" s="10"/>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row>
    <row r="743" ht="15.75" customHeight="1">
      <c r="A743" s="5"/>
      <c r="B743" s="5"/>
      <c r="C743" s="5"/>
      <c r="D743" s="5"/>
      <c r="E743" s="5"/>
      <c r="F743" s="5"/>
      <c r="G743" s="5"/>
      <c r="H743" s="5"/>
      <c r="I743" s="10"/>
      <c r="J743" s="10"/>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row>
    <row r="744" ht="15.75" customHeight="1">
      <c r="A744" s="5"/>
      <c r="B744" s="5"/>
      <c r="C744" s="5"/>
      <c r="D744" s="5"/>
      <c r="E744" s="5"/>
      <c r="F744" s="5"/>
      <c r="G744" s="5"/>
      <c r="H744" s="5"/>
      <c r="I744" s="10"/>
      <c r="J744" s="10"/>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row>
    <row r="745" ht="15.75" customHeight="1">
      <c r="A745" s="5"/>
      <c r="B745" s="5"/>
      <c r="C745" s="5"/>
      <c r="D745" s="5"/>
      <c r="E745" s="5"/>
      <c r="F745" s="5"/>
      <c r="G745" s="5"/>
      <c r="H745" s="5"/>
      <c r="I745" s="10"/>
      <c r="J745" s="10"/>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row>
    <row r="746" ht="15.75" customHeight="1">
      <c r="A746" s="5"/>
      <c r="B746" s="5"/>
      <c r="C746" s="5"/>
      <c r="D746" s="5"/>
      <c r="E746" s="5"/>
      <c r="F746" s="5"/>
      <c r="G746" s="5"/>
      <c r="H746" s="5"/>
      <c r="I746" s="10"/>
      <c r="J746" s="10"/>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row>
    <row r="747" ht="15.75" customHeight="1">
      <c r="A747" s="5"/>
      <c r="B747" s="5"/>
      <c r="C747" s="5"/>
      <c r="D747" s="5"/>
      <c r="E747" s="5"/>
      <c r="F747" s="5"/>
      <c r="G747" s="5"/>
      <c r="H747" s="5"/>
      <c r="I747" s="10"/>
      <c r="J747" s="10"/>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row>
    <row r="748" ht="15.75" customHeight="1">
      <c r="A748" s="5"/>
      <c r="B748" s="5"/>
      <c r="C748" s="5"/>
      <c r="D748" s="5"/>
      <c r="E748" s="5"/>
      <c r="F748" s="5"/>
      <c r="G748" s="5"/>
      <c r="H748" s="5"/>
      <c r="I748" s="10"/>
      <c r="J748" s="10"/>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row>
    <row r="749" ht="15.75" customHeight="1">
      <c r="A749" s="5"/>
      <c r="B749" s="5"/>
      <c r="C749" s="5"/>
      <c r="D749" s="5"/>
      <c r="E749" s="5"/>
      <c r="F749" s="5"/>
      <c r="G749" s="5"/>
      <c r="H749" s="5"/>
      <c r="I749" s="10"/>
      <c r="J749" s="10"/>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row>
    <row r="750" ht="15.75" customHeight="1">
      <c r="A750" s="5"/>
      <c r="B750" s="5"/>
      <c r="C750" s="5"/>
      <c r="D750" s="5"/>
      <c r="E750" s="5"/>
      <c r="F750" s="5"/>
      <c r="G750" s="5"/>
      <c r="H750" s="5"/>
      <c r="I750" s="10"/>
      <c r="J750" s="10"/>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row>
    <row r="751" ht="15.75" customHeight="1">
      <c r="A751" s="5"/>
      <c r="B751" s="5"/>
      <c r="C751" s="5"/>
      <c r="D751" s="5"/>
      <c r="E751" s="5"/>
      <c r="F751" s="5"/>
      <c r="G751" s="5"/>
      <c r="H751" s="5"/>
      <c r="I751" s="10"/>
      <c r="J751" s="10"/>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row>
    <row r="752" ht="15.75" customHeight="1">
      <c r="A752" s="5"/>
      <c r="B752" s="5"/>
      <c r="C752" s="5"/>
      <c r="D752" s="5"/>
      <c r="E752" s="5"/>
      <c r="F752" s="5"/>
      <c r="G752" s="5"/>
      <c r="H752" s="5"/>
      <c r="I752" s="10"/>
      <c r="J752" s="10"/>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row>
    <row r="753" ht="15.75" customHeight="1">
      <c r="A753" s="5"/>
      <c r="B753" s="5"/>
      <c r="C753" s="5"/>
      <c r="D753" s="5"/>
      <c r="E753" s="5"/>
      <c r="F753" s="5"/>
      <c r="G753" s="5"/>
      <c r="H753" s="5"/>
      <c r="I753" s="10"/>
      <c r="J753" s="10"/>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row>
    <row r="754" ht="15.75" customHeight="1">
      <c r="A754" s="5"/>
      <c r="B754" s="5"/>
      <c r="C754" s="5"/>
      <c r="D754" s="5"/>
      <c r="E754" s="5"/>
      <c r="F754" s="5"/>
      <c r="G754" s="5"/>
      <c r="H754" s="5"/>
      <c r="I754" s="10"/>
      <c r="J754" s="10"/>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row>
    <row r="755" ht="15.75" customHeight="1">
      <c r="A755" s="5"/>
      <c r="B755" s="5"/>
      <c r="C755" s="5"/>
      <c r="D755" s="5"/>
      <c r="E755" s="5"/>
      <c r="F755" s="5"/>
      <c r="G755" s="5"/>
      <c r="H755" s="5"/>
      <c r="I755" s="10"/>
      <c r="J755" s="10"/>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row>
    <row r="756" ht="15.75" customHeight="1">
      <c r="A756" s="5"/>
      <c r="B756" s="5"/>
      <c r="C756" s="5"/>
      <c r="D756" s="5"/>
      <c r="E756" s="5"/>
      <c r="F756" s="5"/>
      <c r="G756" s="5"/>
      <c r="H756" s="5"/>
      <c r="I756" s="10"/>
      <c r="J756" s="10"/>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row>
    <row r="757" ht="15.75" customHeight="1">
      <c r="A757" s="5"/>
      <c r="B757" s="5"/>
      <c r="C757" s="5"/>
      <c r="D757" s="5"/>
      <c r="E757" s="5"/>
      <c r="F757" s="5"/>
      <c r="G757" s="5"/>
      <c r="H757" s="5"/>
      <c r="I757" s="10"/>
      <c r="J757" s="10"/>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row>
    <row r="758" ht="15.75" customHeight="1">
      <c r="A758" s="5"/>
      <c r="B758" s="5"/>
      <c r="C758" s="5"/>
      <c r="D758" s="5"/>
      <c r="E758" s="5"/>
      <c r="F758" s="5"/>
      <c r="G758" s="5"/>
      <c r="H758" s="5"/>
      <c r="I758" s="10"/>
      <c r="J758" s="10"/>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row>
    <row r="759" ht="15.75" customHeight="1">
      <c r="A759" s="5"/>
      <c r="B759" s="5"/>
      <c r="C759" s="5"/>
      <c r="D759" s="5"/>
      <c r="E759" s="5"/>
      <c r="F759" s="5"/>
      <c r="G759" s="5"/>
      <c r="H759" s="5"/>
      <c r="I759" s="10"/>
      <c r="J759" s="10"/>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row>
    <row r="760" ht="15.75" customHeight="1">
      <c r="A760" s="5"/>
      <c r="B760" s="5"/>
      <c r="C760" s="5"/>
      <c r="D760" s="5"/>
      <c r="E760" s="5"/>
      <c r="F760" s="5"/>
      <c r="G760" s="5"/>
      <c r="H760" s="5"/>
      <c r="I760" s="10"/>
      <c r="J760" s="10"/>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row>
    <row r="761" ht="15.75" customHeight="1">
      <c r="A761" s="5"/>
      <c r="B761" s="5"/>
      <c r="C761" s="5"/>
      <c r="D761" s="5"/>
      <c r="E761" s="5"/>
      <c r="F761" s="5"/>
      <c r="G761" s="5"/>
      <c r="H761" s="5"/>
      <c r="I761" s="10"/>
      <c r="J761" s="10"/>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row>
    <row r="762" ht="15.75" customHeight="1">
      <c r="A762" s="5"/>
      <c r="B762" s="5"/>
      <c r="C762" s="5"/>
      <c r="D762" s="5"/>
      <c r="E762" s="5"/>
      <c r="F762" s="5"/>
      <c r="G762" s="5"/>
      <c r="H762" s="5"/>
      <c r="I762" s="10"/>
      <c r="J762" s="10"/>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row>
    <row r="763" ht="15.75" customHeight="1">
      <c r="A763" s="5"/>
      <c r="B763" s="5"/>
      <c r="C763" s="5"/>
      <c r="D763" s="5"/>
      <c r="E763" s="5"/>
      <c r="F763" s="5"/>
      <c r="G763" s="5"/>
      <c r="H763" s="5"/>
      <c r="I763" s="10"/>
      <c r="J763" s="10"/>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row>
    <row r="764" ht="15.75" customHeight="1">
      <c r="A764" s="5"/>
      <c r="B764" s="5"/>
      <c r="C764" s="5"/>
      <c r="D764" s="5"/>
      <c r="E764" s="5"/>
      <c r="F764" s="5"/>
      <c r="G764" s="5"/>
      <c r="H764" s="5"/>
      <c r="I764" s="10"/>
      <c r="J764" s="10"/>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row>
    <row r="765" ht="15.75" customHeight="1">
      <c r="A765" s="5"/>
      <c r="B765" s="5"/>
      <c r="C765" s="5"/>
      <c r="D765" s="5"/>
      <c r="E765" s="5"/>
      <c r="F765" s="5"/>
      <c r="G765" s="5"/>
      <c r="H765" s="5"/>
      <c r="I765" s="10"/>
      <c r="J765" s="10"/>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row>
    <row r="766" ht="15.75" customHeight="1">
      <c r="A766" s="5"/>
      <c r="B766" s="5"/>
      <c r="C766" s="5"/>
      <c r="D766" s="5"/>
      <c r="E766" s="5"/>
      <c r="F766" s="5"/>
      <c r="G766" s="5"/>
      <c r="H766" s="5"/>
      <c r="I766" s="10"/>
      <c r="J766" s="10"/>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row>
    <row r="767" ht="15.75" customHeight="1">
      <c r="A767" s="5"/>
      <c r="B767" s="5"/>
      <c r="C767" s="5"/>
      <c r="D767" s="5"/>
      <c r="E767" s="5"/>
      <c r="F767" s="5"/>
      <c r="G767" s="5"/>
      <c r="H767" s="5"/>
      <c r="I767" s="10"/>
      <c r="J767" s="10"/>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row>
    <row r="768" ht="15.75" customHeight="1">
      <c r="A768" s="5"/>
      <c r="B768" s="5"/>
      <c r="C768" s="5"/>
      <c r="D768" s="5"/>
      <c r="E768" s="5"/>
      <c r="F768" s="5"/>
      <c r="G768" s="5"/>
      <c r="H768" s="5"/>
      <c r="I768" s="10"/>
      <c r="J768" s="10"/>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row>
    <row r="769" ht="15.75" customHeight="1">
      <c r="A769" s="5"/>
      <c r="B769" s="5"/>
      <c r="C769" s="5"/>
      <c r="D769" s="5"/>
      <c r="E769" s="5"/>
      <c r="F769" s="5"/>
      <c r="G769" s="5"/>
      <c r="H769" s="5"/>
      <c r="I769" s="10"/>
      <c r="J769" s="10"/>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row>
    <row r="770" ht="15.75" customHeight="1">
      <c r="A770" s="5"/>
      <c r="B770" s="5"/>
      <c r="C770" s="5"/>
      <c r="D770" s="5"/>
      <c r="E770" s="5"/>
      <c r="F770" s="5"/>
      <c r="G770" s="5"/>
      <c r="H770" s="5"/>
      <c r="I770" s="10"/>
      <c r="J770" s="10"/>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row>
    <row r="771" ht="15.75" customHeight="1">
      <c r="A771" s="5"/>
      <c r="B771" s="5"/>
      <c r="C771" s="5"/>
      <c r="D771" s="5"/>
      <c r="E771" s="5"/>
      <c r="F771" s="5"/>
      <c r="G771" s="5"/>
      <c r="H771" s="5"/>
      <c r="I771" s="10"/>
      <c r="J771" s="10"/>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row>
    <row r="772" ht="15.75" customHeight="1">
      <c r="A772" s="5"/>
      <c r="B772" s="5"/>
      <c r="C772" s="5"/>
      <c r="D772" s="5"/>
      <c r="E772" s="5"/>
      <c r="F772" s="5"/>
      <c r="G772" s="5"/>
      <c r="H772" s="5"/>
      <c r="I772" s="10"/>
      <c r="J772" s="10"/>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row>
    <row r="773" ht="15.75" customHeight="1">
      <c r="A773" s="5"/>
      <c r="B773" s="5"/>
      <c r="C773" s="5"/>
      <c r="D773" s="5"/>
      <c r="E773" s="5"/>
      <c r="F773" s="5"/>
      <c r="G773" s="5"/>
      <c r="H773" s="5"/>
      <c r="I773" s="10"/>
      <c r="J773" s="10"/>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row>
    <row r="774" ht="15.75" customHeight="1">
      <c r="A774" s="5"/>
      <c r="B774" s="5"/>
      <c r="C774" s="5"/>
      <c r="D774" s="5"/>
      <c r="E774" s="5"/>
      <c r="F774" s="5"/>
      <c r="G774" s="5"/>
      <c r="H774" s="5"/>
      <c r="I774" s="10"/>
      <c r="J774" s="10"/>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row>
    <row r="775" ht="15.75" customHeight="1">
      <c r="A775" s="5"/>
      <c r="B775" s="5"/>
      <c r="C775" s="5"/>
      <c r="D775" s="5"/>
      <c r="E775" s="5"/>
      <c r="F775" s="5"/>
      <c r="G775" s="5"/>
      <c r="H775" s="5"/>
      <c r="I775" s="10"/>
      <c r="J775" s="10"/>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row>
    <row r="776" ht="15.75" customHeight="1">
      <c r="A776" s="5"/>
      <c r="B776" s="5"/>
      <c r="C776" s="5"/>
      <c r="D776" s="5"/>
      <c r="E776" s="5"/>
      <c r="F776" s="5"/>
      <c r="G776" s="5"/>
      <c r="H776" s="5"/>
      <c r="I776" s="10"/>
      <c r="J776" s="10"/>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row>
    <row r="777" ht="15.75" customHeight="1">
      <c r="A777" s="5"/>
      <c r="B777" s="5"/>
      <c r="C777" s="5"/>
      <c r="D777" s="5"/>
      <c r="E777" s="5"/>
      <c r="F777" s="5"/>
      <c r="G777" s="5"/>
      <c r="H777" s="5"/>
      <c r="I777" s="10"/>
      <c r="J777" s="10"/>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row>
    <row r="778" ht="15.75" customHeight="1">
      <c r="A778" s="5"/>
      <c r="B778" s="5"/>
      <c r="C778" s="5"/>
      <c r="D778" s="5"/>
      <c r="E778" s="5"/>
      <c r="F778" s="5"/>
      <c r="G778" s="5"/>
      <c r="H778" s="5"/>
      <c r="I778" s="10"/>
      <c r="J778" s="10"/>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row>
    <row r="779" ht="15.75" customHeight="1">
      <c r="A779" s="5"/>
      <c r="B779" s="5"/>
      <c r="C779" s="5"/>
      <c r="D779" s="5"/>
      <c r="E779" s="5"/>
      <c r="F779" s="5"/>
      <c r="G779" s="5"/>
      <c r="H779" s="5"/>
      <c r="I779" s="10"/>
      <c r="J779" s="10"/>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row>
    <row r="780" ht="15.75" customHeight="1">
      <c r="A780" s="5"/>
      <c r="B780" s="5"/>
      <c r="C780" s="5"/>
      <c r="D780" s="5"/>
      <c r="E780" s="5"/>
      <c r="F780" s="5"/>
      <c r="G780" s="5"/>
      <c r="H780" s="5"/>
      <c r="I780" s="10"/>
      <c r="J780" s="10"/>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row>
    <row r="781" ht="15.75" customHeight="1">
      <c r="A781" s="5"/>
      <c r="B781" s="5"/>
      <c r="C781" s="5"/>
      <c r="D781" s="5"/>
      <c r="E781" s="5"/>
      <c r="F781" s="5"/>
      <c r="G781" s="5"/>
      <c r="H781" s="5"/>
      <c r="I781" s="10"/>
      <c r="J781" s="10"/>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row>
    <row r="782" ht="15.75" customHeight="1">
      <c r="A782" s="5"/>
      <c r="B782" s="5"/>
      <c r="C782" s="5"/>
      <c r="D782" s="5"/>
      <c r="E782" s="5"/>
      <c r="F782" s="5"/>
      <c r="G782" s="5"/>
      <c r="H782" s="5"/>
      <c r="I782" s="10"/>
      <c r="J782" s="10"/>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row>
    <row r="783" ht="15.75" customHeight="1">
      <c r="A783" s="5"/>
      <c r="B783" s="5"/>
      <c r="C783" s="5"/>
      <c r="D783" s="5"/>
      <c r="E783" s="5"/>
      <c r="F783" s="5"/>
      <c r="G783" s="5"/>
      <c r="H783" s="5"/>
      <c r="I783" s="10"/>
      <c r="J783" s="10"/>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row>
    <row r="784" ht="15.75" customHeight="1">
      <c r="A784" s="5"/>
      <c r="B784" s="5"/>
      <c r="C784" s="5"/>
      <c r="D784" s="5"/>
      <c r="E784" s="5"/>
      <c r="F784" s="5"/>
      <c r="G784" s="5"/>
      <c r="H784" s="5"/>
      <c r="I784" s="10"/>
      <c r="J784" s="10"/>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row>
    <row r="785" ht="15.75" customHeight="1">
      <c r="A785" s="5"/>
      <c r="B785" s="5"/>
      <c r="C785" s="5"/>
      <c r="D785" s="5"/>
      <c r="E785" s="5"/>
      <c r="F785" s="5"/>
      <c r="G785" s="5"/>
      <c r="H785" s="5"/>
      <c r="I785" s="10"/>
      <c r="J785" s="10"/>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row>
    <row r="786" ht="15.75" customHeight="1">
      <c r="A786" s="5"/>
      <c r="B786" s="5"/>
      <c r="C786" s="5"/>
      <c r="D786" s="5"/>
      <c r="E786" s="5"/>
      <c r="F786" s="5"/>
      <c r="G786" s="5"/>
      <c r="H786" s="5"/>
      <c r="I786" s="10"/>
      <c r="J786" s="10"/>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row>
    <row r="787" ht="15.75" customHeight="1">
      <c r="A787" s="5"/>
      <c r="B787" s="5"/>
      <c r="C787" s="5"/>
      <c r="D787" s="5"/>
      <c r="E787" s="5"/>
      <c r="F787" s="5"/>
      <c r="G787" s="5"/>
      <c r="H787" s="5"/>
      <c r="I787" s="10"/>
      <c r="J787" s="10"/>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row>
    <row r="788" ht="15.75" customHeight="1">
      <c r="A788" s="5"/>
      <c r="B788" s="5"/>
      <c r="C788" s="5"/>
      <c r="D788" s="5"/>
      <c r="E788" s="5"/>
      <c r="F788" s="5"/>
      <c r="G788" s="5"/>
      <c r="H788" s="5"/>
      <c r="I788" s="10"/>
      <c r="J788" s="10"/>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row>
    <row r="789" ht="15.75" customHeight="1">
      <c r="A789" s="5"/>
      <c r="B789" s="5"/>
      <c r="C789" s="5"/>
      <c r="D789" s="5"/>
      <c r="E789" s="5"/>
      <c r="F789" s="5"/>
      <c r="G789" s="5"/>
      <c r="H789" s="5"/>
      <c r="I789" s="10"/>
      <c r="J789" s="10"/>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row>
    <row r="790" ht="15.75" customHeight="1">
      <c r="A790" s="5"/>
      <c r="B790" s="5"/>
      <c r="C790" s="5"/>
      <c r="D790" s="5"/>
      <c r="E790" s="5"/>
      <c r="F790" s="5"/>
      <c r="G790" s="5"/>
      <c r="H790" s="5"/>
      <c r="I790" s="10"/>
      <c r="J790" s="10"/>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row>
    <row r="791" ht="15.75" customHeight="1">
      <c r="A791" s="5"/>
      <c r="B791" s="5"/>
      <c r="C791" s="5"/>
      <c r="D791" s="5"/>
      <c r="E791" s="5"/>
      <c r="F791" s="5"/>
      <c r="G791" s="5"/>
      <c r="H791" s="5"/>
      <c r="I791" s="10"/>
      <c r="J791" s="10"/>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row>
    <row r="792" ht="15.75" customHeight="1">
      <c r="A792" s="5"/>
      <c r="B792" s="5"/>
      <c r="C792" s="5"/>
      <c r="D792" s="5"/>
      <c r="E792" s="5"/>
      <c r="F792" s="5"/>
      <c r="G792" s="5"/>
      <c r="H792" s="5"/>
      <c r="I792" s="10"/>
      <c r="J792" s="10"/>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row>
    <row r="793" ht="15.75" customHeight="1">
      <c r="A793" s="5"/>
      <c r="B793" s="5"/>
      <c r="C793" s="5"/>
      <c r="D793" s="5"/>
      <c r="E793" s="5"/>
      <c r="F793" s="5"/>
      <c r="G793" s="5"/>
      <c r="H793" s="5"/>
      <c r="I793" s="10"/>
      <c r="J793" s="10"/>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row>
    <row r="794" ht="15.75" customHeight="1">
      <c r="A794" s="5"/>
      <c r="B794" s="5"/>
      <c r="C794" s="5"/>
      <c r="D794" s="5"/>
      <c r="E794" s="5"/>
      <c r="F794" s="5"/>
      <c r="G794" s="5"/>
      <c r="H794" s="5"/>
      <c r="I794" s="10"/>
      <c r="J794" s="10"/>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row>
    <row r="795" ht="15.75" customHeight="1">
      <c r="A795" s="5"/>
      <c r="B795" s="5"/>
      <c r="C795" s="5"/>
      <c r="D795" s="5"/>
      <c r="E795" s="5"/>
      <c r="F795" s="5"/>
      <c r="G795" s="5"/>
      <c r="H795" s="5"/>
      <c r="I795" s="10"/>
      <c r="J795" s="10"/>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row>
    <row r="796" ht="15.75" customHeight="1">
      <c r="A796" s="5"/>
      <c r="B796" s="5"/>
      <c r="C796" s="5"/>
      <c r="D796" s="5"/>
      <c r="E796" s="5"/>
      <c r="F796" s="5"/>
      <c r="G796" s="5"/>
      <c r="H796" s="5"/>
      <c r="I796" s="10"/>
      <c r="J796" s="10"/>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row>
    <row r="797" ht="15.75" customHeight="1">
      <c r="A797" s="5"/>
      <c r="B797" s="5"/>
      <c r="C797" s="5"/>
      <c r="D797" s="5"/>
      <c r="E797" s="5"/>
      <c r="F797" s="5"/>
      <c r="G797" s="5"/>
      <c r="H797" s="5"/>
      <c r="I797" s="10"/>
      <c r="J797" s="10"/>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row>
    <row r="798" ht="15.75" customHeight="1">
      <c r="A798" s="5"/>
      <c r="B798" s="5"/>
      <c r="C798" s="5"/>
      <c r="D798" s="5"/>
      <c r="E798" s="5"/>
      <c r="F798" s="5"/>
      <c r="G798" s="5"/>
      <c r="H798" s="5"/>
      <c r="I798" s="10"/>
      <c r="J798" s="10"/>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row>
    <row r="799" ht="15.75" customHeight="1">
      <c r="A799" s="5"/>
      <c r="B799" s="5"/>
      <c r="C799" s="5"/>
      <c r="D799" s="5"/>
      <c r="E799" s="5"/>
      <c r="F799" s="5"/>
      <c r="G799" s="5"/>
      <c r="H799" s="5"/>
      <c r="I799" s="10"/>
      <c r="J799" s="10"/>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row>
    <row r="800" ht="15.75" customHeight="1">
      <c r="A800" s="5"/>
      <c r="B800" s="5"/>
      <c r="C800" s="5"/>
      <c r="D800" s="5"/>
      <c r="E800" s="5"/>
      <c r="F800" s="5"/>
      <c r="G800" s="5"/>
      <c r="H800" s="5"/>
      <c r="I800" s="10"/>
      <c r="J800" s="10"/>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row>
    <row r="801" ht="15.75" customHeight="1">
      <c r="A801" s="5"/>
      <c r="B801" s="5"/>
      <c r="C801" s="5"/>
      <c r="D801" s="5"/>
      <c r="E801" s="5"/>
      <c r="F801" s="5"/>
      <c r="G801" s="5"/>
      <c r="H801" s="5"/>
      <c r="I801" s="10"/>
      <c r="J801" s="10"/>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row>
    <row r="802" ht="15.75" customHeight="1">
      <c r="A802" s="5"/>
      <c r="B802" s="5"/>
      <c r="C802" s="5"/>
      <c r="D802" s="5"/>
      <c r="E802" s="5"/>
      <c r="F802" s="5"/>
      <c r="G802" s="5"/>
      <c r="H802" s="5"/>
      <c r="I802" s="10"/>
      <c r="J802" s="10"/>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row>
    <row r="803" ht="15.75" customHeight="1">
      <c r="A803" s="5"/>
      <c r="B803" s="5"/>
      <c r="C803" s="5"/>
      <c r="D803" s="5"/>
      <c r="E803" s="5"/>
      <c r="F803" s="5"/>
      <c r="G803" s="5"/>
      <c r="H803" s="5"/>
      <c r="I803" s="10"/>
      <c r="J803" s="10"/>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row>
    <row r="804" ht="15.75" customHeight="1">
      <c r="A804" s="5"/>
      <c r="B804" s="5"/>
      <c r="C804" s="5"/>
      <c r="D804" s="5"/>
      <c r="E804" s="5"/>
      <c r="F804" s="5"/>
      <c r="G804" s="5"/>
      <c r="H804" s="5"/>
      <c r="I804" s="10"/>
      <c r="J804" s="10"/>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row>
    <row r="805" ht="15.75" customHeight="1">
      <c r="A805" s="5"/>
      <c r="B805" s="5"/>
      <c r="C805" s="5"/>
      <c r="D805" s="5"/>
      <c r="E805" s="5"/>
      <c r="F805" s="5"/>
      <c r="G805" s="5"/>
      <c r="H805" s="5"/>
      <c r="I805" s="10"/>
      <c r="J805" s="10"/>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row>
    <row r="806" ht="15.75" customHeight="1">
      <c r="A806" s="5"/>
      <c r="B806" s="5"/>
      <c r="C806" s="5"/>
      <c r="D806" s="5"/>
      <c r="E806" s="5"/>
      <c r="F806" s="5"/>
      <c r="G806" s="5"/>
      <c r="H806" s="5"/>
      <c r="I806" s="10"/>
      <c r="J806" s="10"/>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row>
    <row r="807" ht="15.75" customHeight="1">
      <c r="A807" s="5"/>
      <c r="B807" s="5"/>
      <c r="C807" s="5"/>
      <c r="D807" s="5"/>
      <c r="E807" s="5"/>
      <c r="F807" s="5"/>
      <c r="G807" s="5"/>
      <c r="H807" s="5"/>
      <c r="I807" s="10"/>
      <c r="J807" s="10"/>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row>
    <row r="808" ht="15.75" customHeight="1">
      <c r="A808" s="5"/>
      <c r="B808" s="5"/>
      <c r="C808" s="5"/>
      <c r="D808" s="5"/>
      <c r="E808" s="5"/>
      <c r="F808" s="5"/>
      <c r="G808" s="5"/>
      <c r="H808" s="5"/>
      <c r="I808" s="10"/>
      <c r="J808" s="10"/>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row>
    <row r="809" ht="15.75" customHeight="1">
      <c r="A809" s="5"/>
      <c r="B809" s="5"/>
      <c r="C809" s="5"/>
      <c r="D809" s="5"/>
      <c r="E809" s="5"/>
      <c r="F809" s="5"/>
      <c r="G809" s="5"/>
      <c r="H809" s="5"/>
      <c r="I809" s="10"/>
      <c r="J809" s="10"/>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row>
    <row r="810" ht="15.75" customHeight="1">
      <c r="A810" s="5"/>
      <c r="B810" s="5"/>
      <c r="C810" s="5"/>
      <c r="D810" s="5"/>
      <c r="E810" s="5"/>
      <c r="F810" s="5"/>
      <c r="G810" s="5"/>
      <c r="H810" s="5"/>
      <c r="I810" s="10"/>
      <c r="J810" s="10"/>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row>
    <row r="811" ht="15.75" customHeight="1">
      <c r="A811" s="5"/>
      <c r="B811" s="5"/>
      <c r="C811" s="5"/>
      <c r="D811" s="5"/>
      <c r="E811" s="5"/>
      <c r="F811" s="5"/>
      <c r="G811" s="5"/>
      <c r="H811" s="5"/>
      <c r="I811" s="10"/>
      <c r="J811" s="10"/>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row>
    <row r="812" ht="15.75" customHeight="1">
      <c r="A812" s="5"/>
      <c r="B812" s="5"/>
      <c r="C812" s="5"/>
      <c r="D812" s="5"/>
      <c r="E812" s="5"/>
      <c r="F812" s="5"/>
      <c r="G812" s="5"/>
      <c r="H812" s="5"/>
      <c r="I812" s="10"/>
      <c r="J812" s="10"/>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row>
    <row r="813" ht="15.75" customHeight="1">
      <c r="A813" s="5"/>
      <c r="B813" s="5"/>
      <c r="C813" s="5"/>
      <c r="D813" s="5"/>
      <c r="E813" s="5"/>
      <c r="F813" s="5"/>
      <c r="G813" s="5"/>
      <c r="H813" s="5"/>
      <c r="I813" s="10"/>
      <c r="J813" s="10"/>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row>
    <row r="814" ht="15.75" customHeight="1">
      <c r="A814" s="5"/>
      <c r="B814" s="5"/>
      <c r="C814" s="5"/>
      <c r="D814" s="5"/>
      <c r="E814" s="5"/>
      <c r="F814" s="5"/>
      <c r="G814" s="5"/>
      <c r="H814" s="5"/>
      <c r="I814" s="10"/>
      <c r="J814" s="10"/>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row>
    <row r="815" ht="15.75" customHeight="1">
      <c r="A815" s="5"/>
      <c r="B815" s="5"/>
      <c r="C815" s="5"/>
      <c r="D815" s="5"/>
      <c r="E815" s="5"/>
      <c r="F815" s="5"/>
      <c r="G815" s="5"/>
      <c r="H815" s="5"/>
      <c r="I815" s="10"/>
      <c r="J815" s="10"/>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row>
    <row r="816" ht="15.75" customHeight="1">
      <c r="A816" s="5"/>
      <c r="B816" s="5"/>
      <c r="C816" s="5"/>
      <c r="D816" s="5"/>
      <c r="E816" s="5"/>
      <c r="F816" s="5"/>
      <c r="G816" s="5"/>
      <c r="H816" s="5"/>
      <c r="I816" s="10"/>
      <c r="J816" s="10"/>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row>
    <row r="817" ht="15.75" customHeight="1">
      <c r="A817" s="5"/>
      <c r="B817" s="5"/>
      <c r="C817" s="5"/>
      <c r="D817" s="5"/>
      <c r="E817" s="5"/>
      <c r="F817" s="5"/>
      <c r="G817" s="5"/>
      <c r="H817" s="5"/>
      <c r="I817" s="10"/>
      <c r="J817" s="10"/>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row>
    <row r="818" ht="15.75" customHeight="1">
      <c r="A818" s="5"/>
      <c r="B818" s="5"/>
      <c r="C818" s="5"/>
      <c r="D818" s="5"/>
      <c r="E818" s="5"/>
      <c r="F818" s="5"/>
      <c r="G818" s="5"/>
      <c r="H818" s="5"/>
      <c r="I818" s="10"/>
      <c r="J818" s="10"/>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row>
    <row r="819" ht="15.75" customHeight="1">
      <c r="A819" s="5"/>
      <c r="B819" s="5"/>
      <c r="C819" s="5"/>
      <c r="D819" s="5"/>
      <c r="E819" s="5"/>
      <c r="F819" s="5"/>
      <c r="G819" s="5"/>
      <c r="H819" s="5"/>
      <c r="I819" s="10"/>
      <c r="J819" s="10"/>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row>
    <row r="820" ht="15.75" customHeight="1">
      <c r="A820" s="5"/>
      <c r="B820" s="5"/>
      <c r="C820" s="5"/>
      <c r="D820" s="5"/>
      <c r="E820" s="5"/>
      <c r="F820" s="5"/>
      <c r="G820" s="5"/>
      <c r="H820" s="5"/>
      <c r="I820" s="10"/>
      <c r="J820" s="10"/>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row>
    <row r="821" ht="15.75" customHeight="1">
      <c r="A821" s="5"/>
      <c r="B821" s="5"/>
      <c r="C821" s="5"/>
      <c r="D821" s="5"/>
      <c r="E821" s="5"/>
      <c r="F821" s="5"/>
      <c r="G821" s="5"/>
      <c r="H821" s="5"/>
      <c r="I821" s="10"/>
      <c r="J821" s="10"/>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row>
    <row r="822" ht="15.75" customHeight="1">
      <c r="A822" s="5"/>
      <c r="B822" s="5"/>
      <c r="C822" s="5"/>
      <c r="D822" s="5"/>
      <c r="E822" s="5"/>
      <c r="F822" s="5"/>
      <c r="G822" s="5"/>
      <c r="H822" s="5"/>
      <c r="I822" s="10"/>
      <c r="J822" s="10"/>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row>
    <row r="823" ht="15.75" customHeight="1">
      <c r="A823" s="5"/>
      <c r="B823" s="5"/>
      <c r="C823" s="5"/>
      <c r="D823" s="5"/>
      <c r="E823" s="5"/>
      <c r="F823" s="5"/>
      <c r="G823" s="5"/>
      <c r="H823" s="5"/>
      <c r="I823" s="10"/>
      <c r="J823" s="10"/>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row>
    <row r="824" ht="15.75" customHeight="1">
      <c r="A824" s="5"/>
      <c r="B824" s="5"/>
      <c r="C824" s="5"/>
      <c r="D824" s="5"/>
      <c r="E824" s="5"/>
      <c r="F824" s="5"/>
      <c r="G824" s="5"/>
      <c r="H824" s="5"/>
      <c r="I824" s="10"/>
      <c r="J824" s="10"/>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row>
    <row r="825" ht="15.75" customHeight="1">
      <c r="A825" s="5"/>
      <c r="B825" s="5"/>
      <c r="C825" s="5"/>
      <c r="D825" s="5"/>
      <c r="E825" s="5"/>
      <c r="F825" s="5"/>
      <c r="G825" s="5"/>
      <c r="H825" s="5"/>
      <c r="I825" s="10"/>
      <c r="J825" s="10"/>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row>
    <row r="826" ht="15.75" customHeight="1">
      <c r="A826" s="5"/>
      <c r="B826" s="5"/>
      <c r="C826" s="5"/>
      <c r="D826" s="5"/>
      <c r="E826" s="5"/>
      <c r="F826" s="5"/>
      <c r="G826" s="5"/>
      <c r="H826" s="5"/>
      <c r="I826" s="10"/>
      <c r="J826" s="10"/>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row>
    <row r="827" ht="15.75" customHeight="1">
      <c r="A827" s="5"/>
      <c r="B827" s="5"/>
      <c r="C827" s="5"/>
      <c r="D827" s="5"/>
      <c r="E827" s="5"/>
      <c r="F827" s="5"/>
      <c r="G827" s="5"/>
      <c r="H827" s="5"/>
      <c r="I827" s="10"/>
      <c r="J827" s="10"/>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row>
    <row r="828" ht="15.75" customHeight="1">
      <c r="A828" s="5"/>
      <c r="B828" s="5"/>
      <c r="C828" s="5"/>
      <c r="D828" s="5"/>
      <c r="E828" s="5"/>
      <c r="F828" s="5"/>
      <c r="G828" s="5"/>
      <c r="H828" s="5"/>
      <c r="I828" s="10"/>
      <c r="J828" s="10"/>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row>
    <row r="829" ht="15.75" customHeight="1">
      <c r="A829" s="5"/>
      <c r="B829" s="5"/>
      <c r="C829" s="5"/>
      <c r="D829" s="5"/>
      <c r="E829" s="5"/>
      <c r="F829" s="5"/>
      <c r="G829" s="5"/>
      <c r="H829" s="5"/>
      <c r="I829" s="10"/>
      <c r="J829" s="10"/>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row>
    <row r="830" ht="15.75" customHeight="1">
      <c r="A830" s="5"/>
      <c r="B830" s="5"/>
      <c r="C830" s="5"/>
      <c r="D830" s="5"/>
      <c r="E830" s="5"/>
      <c r="F830" s="5"/>
      <c r="G830" s="5"/>
      <c r="H830" s="5"/>
      <c r="I830" s="10"/>
      <c r="J830" s="10"/>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row>
    <row r="831" ht="15.75" customHeight="1">
      <c r="A831" s="5"/>
      <c r="B831" s="5"/>
      <c r="C831" s="5"/>
      <c r="D831" s="5"/>
      <c r="E831" s="5"/>
      <c r="F831" s="5"/>
      <c r="G831" s="5"/>
      <c r="H831" s="5"/>
      <c r="I831" s="10"/>
      <c r="J831" s="10"/>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row>
    <row r="832" ht="15.75" customHeight="1">
      <c r="A832" s="5"/>
      <c r="B832" s="5"/>
      <c r="C832" s="5"/>
      <c r="D832" s="5"/>
      <c r="E832" s="5"/>
      <c r="F832" s="5"/>
      <c r="G832" s="5"/>
      <c r="H832" s="5"/>
      <c r="I832" s="10"/>
      <c r="J832" s="10"/>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row>
    <row r="833" ht="15.75" customHeight="1">
      <c r="A833" s="5"/>
      <c r="B833" s="5"/>
      <c r="C833" s="5"/>
      <c r="D833" s="5"/>
      <c r="E833" s="5"/>
      <c r="F833" s="5"/>
      <c r="G833" s="5"/>
      <c r="H833" s="5"/>
      <c r="I833" s="10"/>
      <c r="J833" s="10"/>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row>
    <row r="834" ht="15.75" customHeight="1">
      <c r="A834" s="5"/>
      <c r="B834" s="5"/>
      <c r="C834" s="5"/>
      <c r="D834" s="5"/>
      <c r="E834" s="5"/>
      <c r="F834" s="5"/>
      <c r="G834" s="5"/>
      <c r="H834" s="5"/>
      <c r="I834" s="10"/>
      <c r="J834" s="10"/>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row>
    <row r="835" ht="15.75" customHeight="1">
      <c r="A835" s="5"/>
      <c r="B835" s="5"/>
      <c r="C835" s="5"/>
      <c r="D835" s="5"/>
      <c r="E835" s="5"/>
      <c r="F835" s="5"/>
      <c r="G835" s="5"/>
      <c r="H835" s="5"/>
      <c r="I835" s="10"/>
      <c r="J835" s="10"/>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row>
    <row r="836" ht="15.75" customHeight="1">
      <c r="A836" s="5"/>
      <c r="B836" s="5"/>
      <c r="C836" s="5"/>
      <c r="D836" s="5"/>
      <c r="E836" s="5"/>
      <c r="F836" s="5"/>
      <c r="G836" s="5"/>
      <c r="H836" s="5"/>
      <c r="I836" s="10"/>
      <c r="J836" s="10"/>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row>
    <row r="837" ht="15.75" customHeight="1">
      <c r="A837" s="5"/>
      <c r="B837" s="5"/>
      <c r="C837" s="5"/>
      <c r="D837" s="5"/>
      <c r="E837" s="5"/>
      <c r="F837" s="5"/>
      <c r="G837" s="5"/>
      <c r="H837" s="5"/>
      <c r="I837" s="10"/>
      <c r="J837" s="10"/>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row>
    <row r="838" ht="15.75" customHeight="1">
      <c r="A838" s="5"/>
      <c r="B838" s="5"/>
      <c r="C838" s="5"/>
      <c r="D838" s="5"/>
      <c r="E838" s="5"/>
      <c r="F838" s="5"/>
      <c r="G838" s="5"/>
      <c r="H838" s="5"/>
      <c r="I838" s="10"/>
      <c r="J838" s="10"/>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row>
    <row r="839" ht="15.75" customHeight="1">
      <c r="A839" s="5"/>
      <c r="B839" s="5"/>
      <c r="C839" s="5"/>
      <c r="D839" s="5"/>
      <c r="E839" s="5"/>
      <c r="F839" s="5"/>
      <c r="G839" s="5"/>
      <c r="H839" s="5"/>
      <c r="I839" s="10"/>
      <c r="J839" s="10"/>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row>
    <row r="840" ht="15.75" customHeight="1">
      <c r="A840" s="5"/>
      <c r="B840" s="5"/>
      <c r="C840" s="5"/>
      <c r="D840" s="5"/>
      <c r="E840" s="5"/>
      <c r="F840" s="5"/>
      <c r="G840" s="5"/>
      <c r="H840" s="5"/>
      <c r="I840" s="10"/>
      <c r="J840" s="10"/>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row>
    <row r="841" ht="15.75" customHeight="1">
      <c r="A841" s="5"/>
      <c r="B841" s="5"/>
      <c r="C841" s="5"/>
      <c r="D841" s="5"/>
      <c r="E841" s="5"/>
      <c r="F841" s="5"/>
      <c r="G841" s="5"/>
      <c r="H841" s="5"/>
      <c r="I841" s="10"/>
      <c r="J841" s="10"/>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row>
    <row r="842" ht="15.75" customHeight="1">
      <c r="A842" s="5"/>
      <c r="B842" s="5"/>
      <c r="C842" s="5"/>
      <c r="D842" s="5"/>
      <c r="E842" s="5"/>
      <c r="F842" s="5"/>
      <c r="G842" s="5"/>
      <c r="H842" s="5"/>
      <c r="I842" s="10"/>
      <c r="J842" s="10"/>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row>
    <row r="843" ht="15.75" customHeight="1">
      <c r="A843" s="5"/>
      <c r="B843" s="5"/>
      <c r="C843" s="5"/>
      <c r="D843" s="5"/>
      <c r="E843" s="5"/>
      <c r="F843" s="5"/>
      <c r="G843" s="5"/>
      <c r="H843" s="5"/>
      <c r="I843" s="10"/>
      <c r="J843" s="10"/>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row>
    <row r="844" ht="15.75" customHeight="1">
      <c r="A844" s="5"/>
      <c r="B844" s="5"/>
      <c r="C844" s="5"/>
      <c r="D844" s="5"/>
      <c r="E844" s="5"/>
      <c r="F844" s="5"/>
      <c r="G844" s="5"/>
      <c r="H844" s="5"/>
      <c r="I844" s="10"/>
      <c r="J844" s="10"/>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row>
    <row r="845" ht="15.75" customHeight="1">
      <c r="A845" s="5"/>
      <c r="B845" s="5"/>
      <c r="C845" s="5"/>
      <c r="D845" s="5"/>
      <c r="E845" s="5"/>
      <c r="F845" s="5"/>
      <c r="G845" s="5"/>
      <c r="H845" s="5"/>
      <c r="I845" s="10"/>
      <c r="J845" s="10"/>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row>
    <row r="846" ht="15.75" customHeight="1">
      <c r="A846" s="5"/>
      <c r="B846" s="5"/>
      <c r="C846" s="5"/>
      <c r="D846" s="5"/>
      <c r="E846" s="5"/>
      <c r="F846" s="5"/>
      <c r="G846" s="5"/>
      <c r="H846" s="5"/>
      <c r="I846" s="10"/>
      <c r="J846" s="10"/>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row>
    <row r="847" ht="15.75" customHeight="1">
      <c r="A847" s="5"/>
      <c r="B847" s="5"/>
      <c r="C847" s="5"/>
      <c r="D847" s="5"/>
      <c r="E847" s="5"/>
      <c r="F847" s="5"/>
      <c r="G847" s="5"/>
      <c r="H847" s="5"/>
      <c r="I847" s="10"/>
      <c r="J847" s="10"/>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row>
    <row r="848" ht="15.75" customHeight="1">
      <c r="A848" s="5"/>
      <c r="B848" s="5"/>
      <c r="C848" s="5"/>
      <c r="D848" s="5"/>
      <c r="E848" s="5"/>
      <c r="F848" s="5"/>
      <c r="G848" s="5"/>
      <c r="H848" s="5"/>
      <c r="I848" s="10"/>
      <c r="J848" s="10"/>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row>
    <row r="849" ht="15.75" customHeight="1">
      <c r="A849" s="5"/>
      <c r="B849" s="5"/>
      <c r="C849" s="5"/>
      <c r="D849" s="5"/>
      <c r="E849" s="5"/>
      <c r="F849" s="5"/>
      <c r="G849" s="5"/>
      <c r="H849" s="5"/>
      <c r="I849" s="10"/>
      <c r="J849" s="10"/>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row>
    <row r="850" ht="15.75" customHeight="1">
      <c r="A850" s="5"/>
      <c r="B850" s="5"/>
      <c r="C850" s="5"/>
      <c r="D850" s="5"/>
      <c r="E850" s="5"/>
      <c r="F850" s="5"/>
      <c r="G850" s="5"/>
      <c r="H850" s="5"/>
      <c r="I850" s="10"/>
      <c r="J850" s="10"/>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row>
    <row r="851" ht="15.75" customHeight="1">
      <c r="A851" s="5"/>
      <c r="B851" s="5"/>
      <c r="C851" s="5"/>
      <c r="D851" s="5"/>
      <c r="E851" s="5"/>
      <c r="F851" s="5"/>
      <c r="G851" s="5"/>
      <c r="H851" s="5"/>
      <c r="I851" s="10"/>
      <c r="J851" s="10"/>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row>
    <row r="852" ht="15.75" customHeight="1">
      <c r="A852" s="5"/>
      <c r="B852" s="5"/>
      <c r="C852" s="5"/>
      <c r="D852" s="5"/>
      <c r="E852" s="5"/>
      <c r="F852" s="5"/>
      <c r="G852" s="5"/>
      <c r="H852" s="5"/>
      <c r="I852" s="10"/>
      <c r="J852" s="10"/>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row>
    <row r="853" ht="15.75" customHeight="1">
      <c r="A853" s="5"/>
      <c r="B853" s="5"/>
      <c r="C853" s="5"/>
      <c r="D853" s="5"/>
      <c r="E853" s="5"/>
      <c r="F853" s="5"/>
      <c r="G853" s="5"/>
      <c r="H853" s="5"/>
      <c r="I853" s="10"/>
      <c r="J853" s="10"/>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row>
    <row r="854" ht="15.75" customHeight="1">
      <c r="A854" s="5"/>
      <c r="B854" s="5"/>
      <c r="C854" s="5"/>
      <c r="D854" s="5"/>
      <c r="E854" s="5"/>
      <c r="F854" s="5"/>
      <c r="G854" s="5"/>
      <c r="H854" s="5"/>
      <c r="I854" s="10"/>
      <c r="J854" s="10"/>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row>
    <row r="855" ht="15.75" customHeight="1">
      <c r="A855" s="5"/>
      <c r="B855" s="5"/>
      <c r="C855" s="5"/>
      <c r="D855" s="5"/>
      <c r="E855" s="5"/>
      <c r="F855" s="5"/>
      <c r="G855" s="5"/>
      <c r="H855" s="5"/>
      <c r="I855" s="10"/>
      <c r="J855" s="10"/>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row>
    <row r="856" ht="15.75" customHeight="1">
      <c r="A856" s="5"/>
      <c r="B856" s="5"/>
      <c r="C856" s="5"/>
      <c r="D856" s="5"/>
      <c r="E856" s="5"/>
      <c r="F856" s="5"/>
      <c r="G856" s="5"/>
      <c r="H856" s="5"/>
      <c r="I856" s="10"/>
      <c r="J856" s="10"/>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row>
    <row r="857" ht="15.75" customHeight="1">
      <c r="A857" s="5"/>
      <c r="B857" s="5"/>
      <c r="C857" s="5"/>
      <c r="D857" s="5"/>
      <c r="E857" s="5"/>
      <c r="F857" s="5"/>
      <c r="G857" s="5"/>
      <c r="H857" s="5"/>
      <c r="I857" s="10"/>
      <c r="J857" s="10"/>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row>
    <row r="858" ht="15.75" customHeight="1">
      <c r="A858" s="5"/>
      <c r="B858" s="5"/>
      <c r="C858" s="5"/>
      <c r="D858" s="5"/>
      <c r="E858" s="5"/>
      <c r="F858" s="5"/>
      <c r="G858" s="5"/>
      <c r="H858" s="5"/>
      <c r="I858" s="10"/>
      <c r="J858" s="10"/>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row>
    <row r="859" ht="15.75" customHeight="1">
      <c r="A859" s="5"/>
      <c r="B859" s="5"/>
      <c r="C859" s="5"/>
      <c r="D859" s="5"/>
      <c r="E859" s="5"/>
      <c r="F859" s="5"/>
      <c r="G859" s="5"/>
      <c r="H859" s="5"/>
      <c r="I859" s="10"/>
      <c r="J859" s="10"/>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row>
    <row r="860" ht="15.75" customHeight="1">
      <c r="A860" s="5"/>
      <c r="B860" s="5"/>
      <c r="C860" s="5"/>
      <c r="D860" s="5"/>
      <c r="E860" s="5"/>
      <c r="F860" s="5"/>
      <c r="G860" s="5"/>
      <c r="H860" s="5"/>
      <c r="I860" s="10"/>
      <c r="J860" s="10"/>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row>
    <row r="861" ht="15.75" customHeight="1">
      <c r="A861" s="5"/>
      <c r="B861" s="5"/>
      <c r="C861" s="5"/>
      <c r="D861" s="5"/>
      <c r="E861" s="5"/>
      <c r="F861" s="5"/>
      <c r="G861" s="5"/>
      <c r="H861" s="5"/>
      <c r="I861" s="10"/>
      <c r="J861" s="10"/>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row>
    <row r="862" ht="15.75" customHeight="1">
      <c r="A862" s="5"/>
      <c r="B862" s="5"/>
      <c r="C862" s="5"/>
      <c r="D862" s="5"/>
      <c r="E862" s="5"/>
      <c r="F862" s="5"/>
      <c r="G862" s="5"/>
      <c r="H862" s="5"/>
      <c r="I862" s="10"/>
      <c r="J862" s="10"/>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row>
    <row r="863" ht="15.75" customHeight="1">
      <c r="A863" s="5"/>
      <c r="B863" s="5"/>
      <c r="C863" s="5"/>
      <c r="D863" s="5"/>
      <c r="E863" s="5"/>
      <c r="F863" s="5"/>
      <c r="G863" s="5"/>
      <c r="H863" s="5"/>
      <c r="I863" s="10"/>
      <c r="J863" s="10"/>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row>
    <row r="864" ht="15.75" customHeight="1">
      <c r="A864" s="5"/>
      <c r="B864" s="5"/>
      <c r="C864" s="5"/>
      <c r="D864" s="5"/>
      <c r="E864" s="5"/>
      <c r="F864" s="5"/>
      <c r="G864" s="5"/>
      <c r="H864" s="5"/>
      <c r="I864" s="10"/>
      <c r="J864" s="10"/>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row>
    <row r="865" ht="15.75" customHeight="1">
      <c r="A865" s="5"/>
      <c r="B865" s="5"/>
      <c r="C865" s="5"/>
      <c r="D865" s="5"/>
      <c r="E865" s="5"/>
      <c r="F865" s="5"/>
      <c r="G865" s="5"/>
      <c r="H865" s="5"/>
      <c r="I865" s="10"/>
      <c r="J865" s="10"/>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row>
    <row r="866" ht="15.75" customHeight="1">
      <c r="A866" s="5"/>
      <c r="B866" s="5"/>
      <c r="C866" s="5"/>
      <c r="D866" s="5"/>
      <c r="E866" s="5"/>
      <c r="F866" s="5"/>
      <c r="G866" s="5"/>
      <c r="H866" s="5"/>
      <c r="I866" s="10"/>
      <c r="J866" s="10"/>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row>
    <row r="867" ht="15.75" customHeight="1">
      <c r="A867" s="5"/>
      <c r="B867" s="5"/>
      <c r="C867" s="5"/>
      <c r="D867" s="5"/>
      <c r="E867" s="5"/>
      <c r="F867" s="5"/>
      <c r="G867" s="5"/>
      <c r="H867" s="5"/>
      <c r="I867" s="10"/>
      <c r="J867" s="10"/>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row>
    <row r="868" ht="15.75" customHeight="1">
      <c r="A868" s="5"/>
      <c r="B868" s="5"/>
      <c r="C868" s="5"/>
      <c r="D868" s="5"/>
      <c r="E868" s="5"/>
      <c r="F868" s="5"/>
      <c r="G868" s="5"/>
      <c r="H868" s="5"/>
      <c r="I868" s="10"/>
      <c r="J868" s="10"/>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row>
    <row r="869" ht="15.75" customHeight="1">
      <c r="A869" s="5"/>
      <c r="B869" s="5"/>
      <c r="C869" s="5"/>
      <c r="D869" s="5"/>
      <c r="E869" s="5"/>
      <c r="F869" s="5"/>
      <c r="G869" s="5"/>
      <c r="H869" s="5"/>
      <c r="I869" s="10"/>
      <c r="J869" s="10"/>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row>
    <row r="870" ht="15.75" customHeight="1">
      <c r="A870" s="5"/>
      <c r="B870" s="5"/>
      <c r="C870" s="5"/>
      <c r="D870" s="5"/>
      <c r="E870" s="5"/>
      <c r="F870" s="5"/>
      <c r="G870" s="5"/>
      <c r="H870" s="5"/>
      <c r="I870" s="10"/>
      <c r="J870" s="10"/>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row>
    <row r="871" ht="15.75" customHeight="1">
      <c r="A871" s="5"/>
      <c r="B871" s="5"/>
      <c r="C871" s="5"/>
      <c r="D871" s="5"/>
      <c r="E871" s="5"/>
      <c r="F871" s="5"/>
      <c r="G871" s="5"/>
      <c r="H871" s="5"/>
      <c r="I871" s="10"/>
      <c r="J871" s="10"/>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row>
    <row r="872" ht="15.75" customHeight="1">
      <c r="A872" s="5"/>
      <c r="B872" s="5"/>
      <c r="C872" s="5"/>
      <c r="D872" s="5"/>
      <c r="E872" s="5"/>
      <c r="F872" s="5"/>
      <c r="G872" s="5"/>
      <c r="H872" s="5"/>
      <c r="I872" s="10"/>
      <c r="J872" s="10"/>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row>
    <row r="873" ht="15.75" customHeight="1">
      <c r="A873" s="5"/>
      <c r="B873" s="5"/>
      <c r="C873" s="5"/>
      <c r="D873" s="5"/>
      <c r="E873" s="5"/>
      <c r="F873" s="5"/>
      <c r="G873" s="5"/>
      <c r="H873" s="5"/>
      <c r="I873" s="10"/>
      <c r="J873" s="10"/>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row>
    <row r="874" ht="15.75" customHeight="1">
      <c r="A874" s="5"/>
      <c r="B874" s="5"/>
      <c r="C874" s="5"/>
      <c r="D874" s="5"/>
      <c r="E874" s="5"/>
      <c r="F874" s="5"/>
      <c r="G874" s="5"/>
      <c r="H874" s="5"/>
      <c r="I874" s="10"/>
      <c r="J874" s="10"/>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row>
    <row r="875" ht="15.75" customHeight="1">
      <c r="A875" s="5"/>
      <c r="B875" s="5"/>
      <c r="C875" s="5"/>
      <c r="D875" s="5"/>
      <c r="E875" s="5"/>
      <c r="F875" s="5"/>
      <c r="G875" s="5"/>
      <c r="H875" s="5"/>
      <c r="I875" s="10"/>
      <c r="J875" s="10"/>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row>
    <row r="876" ht="15.75" customHeight="1">
      <c r="A876" s="5"/>
      <c r="B876" s="5"/>
      <c r="C876" s="5"/>
      <c r="D876" s="5"/>
      <c r="E876" s="5"/>
      <c r="F876" s="5"/>
      <c r="G876" s="5"/>
      <c r="H876" s="5"/>
      <c r="I876" s="10"/>
      <c r="J876" s="10"/>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row>
    <row r="877" ht="15.75" customHeight="1">
      <c r="A877" s="5"/>
      <c r="B877" s="5"/>
      <c r="C877" s="5"/>
      <c r="D877" s="5"/>
      <c r="E877" s="5"/>
      <c r="F877" s="5"/>
      <c r="G877" s="5"/>
      <c r="H877" s="5"/>
      <c r="I877" s="10"/>
      <c r="J877" s="10"/>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row>
    <row r="878" ht="15.75" customHeight="1">
      <c r="A878" s="5"/>
      <c r="B878" s="5"/>
      <c r="C878" s="5"/>
      <c r="D878" s="5"/>
      <c r="E878" s="5"/>
      <c r="F878" s="5"/>
      <c r="G878" s="5"/>
      <c r="H878" s="5"/>
      <c r="I878" s="10"/>
      <c r="J878" s="10"/>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row>
    <row r="879" ht="15.75" customHeight="1">
      <c r="A879" s="5"/>
      <c r="B879" s="5"/>
      <c r="C879" s="5"/>
      <c r="D879" s="5"/>
      <c r="E879" s="5"/>
      <c r="F879" s="5"/>
      <c r="G879" s="5"/>
      <c r="H879" s="5"/>
      <c r="I879" s="10"/>
      <c r="J879" s="10"/>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row>
    <row r="880" ht="15.75" customHeight="1">
      <c r="A880" s="5"/>
      <c r="B880" s="5"/>
      <c r="C880" s="5"/>
      <c r="D880" s="5"/>
      <c r="E880" s="5"/>
      <c r="F880" s="5"/>
      <c r="G880" s="5"/>
      <c r="H880" s="5"/>
      <c r="I880" s="10"/>
      <c r="J880" s="10"/>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row>
    <row r="881" ht="15.75" customHeight="1">
      <c r="A881" s="5"/>
      <c r="B881" s="5"/>
      <c r="C881" s="5"/>
      <c r="D881" s="5"/>
      <c r="E881" s="5"/>
      <c r="F881" s="5"/>
      <c r="G881" s="5"/>
      <c r="H881" s="5"/>
      <c r="I881" s="10"/>
      <c r="J881" s="10"/>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row>
    <row r="882" ht="15.75" customHeight="1">
      <c r="A882" s="5"/>
      <c r="B882" s="5"/>
      <c r="C882" s="5"/>
      <c r="D882" s="5"/>
      <c r="E882" s="5"/>
      <c r="F882" s="5"/>
      <c r="G882" s="5"/>
      <c r="H882" s="5"/>
      <c r="I882" s="10"/>
      <c r="J882" s="10"/>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row>
    <row r="883" ht="15.75" customHeight="1">
      <c r="A883" s="5"/>
      <c r="B883" s="5"/>
      <c r="C883" s="5"/>
      <c r="D883" s="5"/>
      <c r="E883" s="5"/>
      <c r="F883" s="5"/>
      <c r="G883" s="5"/>
      <c r="H883" s="5"/>
      <c r="I883" s="10"/>
      <c r="J883" s="10"/>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row>
    <row r="884" ht="15.75" customHeight="1">
      <c r="A884" s="5"/>
      <c r="B884" s="5"/>
      <c r="C884" s="5"/>
      <c r="D884" s="5"/>
      <c r="E884" s="5"/>
      <c r="F884" s="5"/>
      <c r="G884" s="5"/>
      <c r="H884" s="5"/>
      <c r="I884" s="10"/>
      <c r="J884" s="10"/>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row>
    <row r="885" ht="15.75" customHeight="1">
      <c r="A885" s="5"/>
      <c r="B885" s="5"/>
      <c r="C885" s="5"/>
      <c r="D885" s="5"/>
      <c r="E885" s="5"/>
      <c r="F885" s="5"/>
      <c r="G885" s="5"/>
      <c r="H885" s="5"/>
      <c r="I885" s="10"/>
      <c r="J885" s="10"/>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row>
    <row r="886" ht="15.75" customHeight="1">
      <c r="A886" s="5"/>
      <c r="B886" s="5"/>
      <c r="C886" s="5"/>
      <c r="D886" s="5"/>
      <c r="E886" s="5"/>
      <c r="F886" s="5"/>
      <c r="G886" s="5"/>
      <c r="H886" s="5"/>
      <c r="I886" s="10"/>
      <c r="J886" s="10"/>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row>
    <row r="887" ht="15.75" customHeight="1">
      <c r="A887" s="5"/>
      <c r="B887" s="5"/>
      <c r="C887" s="5"/>
      <c r="D887" s="5"/>
      <c r="E887" s="5"/>
      <c r="F887" s="5"/>
      <c r="G887" s="5"/>
      <c r="H887" s="5"/>
      <c r="I887" s="10"/>
      <c r="J887" s="10"/>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row>
    <row r="888" ht="15.75" customHeight="1">
      <c r="A888" s="5"/>
      <c r="B888" s="5"/>
      <c r="C888" s="5"/>
      <c r="D888" s="5"/>
      <c r="E888" s="5"/>
      <c r="F888" s="5"/>
      <c r="G888" s="5"/>
      <c r="H888" s="5"/>
      <c r="I888" s="10"/>
      <c r="J888" s="10"/>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row>
    <row r="889" ht="15.75" customHeight="1">
      <c r="A889" s="5"/>
      <c r="B889" s="5"/>
      <c r="C889" s="5"/>
      <c r="D889" s="5"/>
      <c r="E889" s="5"/>
      <c r="F889" s="5"/>
      <c r="G889" s="5"/>
      <c r="H889" s="5"/>
      <c r="I889" s="10"/>
      <c r="J889" s="10"/>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row>
    <row r="890" ht="15.75" customHeight="1">
      <c r="A890" s="5"/>
      <c r="B890" s="5"/>
      <c r="C890" s="5"/>
      <c r="D890" s="5"/>
      <c r="E890" s="5"/>
      <c r="F890" s="5"/>
      <c r="G890" s="5"/>
      <c r="H890" s="5"/>
      <c r="I890" s="10"/>
      <c r="J890" s="10"/>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row>
    <row r="891" ht="15.75" customHeight="1">
      <c r="A891" s="5"/>
      <c r="B891" s="5"/>
      <c r="C891" s="5"/>
      <c r="D891" s="5"/>
      <c r="E891" s="5"/>
      <c r="F891" s="5"/>
      <c r="G891" s="5"/>
      <c r="H891" s="5"/>
      <c r="I891" s="10"/>
      <c r="J891" s="10"/>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row>
    <row r="892" ht="15.75" customHeight="1">
      <c r="A892" s="5"/>
      <c r="B892" s="5"/>
      <c r="C892" s="5"/>
      <c r="D892" s="5"/>
      <c r="E892" s="5"/>
      <c r="F892" s="5"/>
      <c r="G892" s="5"/>
      <c r="H892" s="5"/>
      <c r="I892" s="10"/>
      <c r="J892" s="10"/>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row>
    <row r="893" ht="15.75" customHeight="1">
      <c r="A893" s="5"/>
      <c r="B893" s="5"/>
      <c r="C893" s="5"/>
      <c r="D893" s="5"/>
      <c r="E893" s="5"/>
      <c r="F893" s="5"/>
      <c r="G893" s="5"/>
      <c r="H893" s="5"/>
      <c r="I893" s="10"/>
      <c r="J893" s="10"/>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row>
    <row r="894" ht="15.75" customHeight="1">
      <c r="A894" s="5"/>
      <c r="B894" s="5"/>
      <c r="C894" s="5"/>
      <c r="D894" s="5"/>
      <c r="E894" s="5"/>
      <c r="F894" s="5"/>
      <c r="G894" s="5"/>
      <c r="H894" s="5"/>
      <c r="I894" s="10"/>
      <c r="J894" s="10"/>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row>
    <row r="895" ht="15.75" customHeight="1">
      <c r="A895" s="5"/>
      <c r="B895" s="5"/>
      <c r="C895" s="5"/>
      <c r="D895" s="5"/>
      <c r="E895" s="5"/>
      <c r="F895" s="5"/>
      <c r="G895" s="5"/>
      <c r="H895" s="5"/>
      <c r="I895" s="10"/>
      <c r="J895" s="10"/>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row>
    <row r="896" ht="15.75" customHeight="1">
      <c r="A896" s="5"/>
      <c r="B896" s="5"/>
      <c r="C896" s="5"/>
      <c r="D896" s="5"/>
      <c r="E896" s="5"/>
      <c r="F896" s="5"/>
      <c r="G896" s="5"/>
      <c r="H896" s="5"/>
      <c r="I896" s="10"/>
      <c r="J896" s="10"/>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row>
    <row r="897" ht="15.75" customHeight="1">
      <c r="A897" s="5"/>
      <c r="B897" s="5"/>
      <c r="C897" s="5"/>
      <c r="D897" s="5"/>
      <c r="E897" s="5"/>
      <c r="F897" s="5"/>
      <c r="G897" s="5"/>
      <c r="H897" s="5"/>
      <c r="I897" s="10"/>
      <c r="J897" s="10"/>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row>
    <row r="898" ht="15.75" customHeight="1">
      <c r="A898" s="5"/>
      <c r="B898" s="5"/>
      <c r="C898" s="5"/>
      <c r="D898" s="5"/>
      <c r="E898" s="5"/>
      <c r="F898" s="5"/>
      <c r="G898" s="5"/>
      <c r="H898" s="5"/>
      <c r="I898" s="10"/>
      <c r="J898" s="10"/>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row>
    <row r="899" ht="15.75" customHeight="1">
      <c r="A899" s="5"/>
      <c r="B899" s="5"/>
      <c r="C899" s="5"/>
      <c r="D899" s="5"/>
      <c r="E899" s="5"/>
      <c r="F899" s="5"/>
      <c r="G899" s="5"/>
      <c r="H899" s="5"/>
      <c r="I899" s="10"/>
      <c r="J899" s="10"/>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row>
    <row r="900" ht="15.75" customHeight="1">
      <c r="A900" s="5"/>
      <c r="B900" s="5"/>
      <c r="C900" s="5"/>
      <c r="D900" s="5"/>
      <c r="E900" s="5"/>
      <c r="F900" s="5"/>
      <c r="G900" s="5"/>
      <c r="H900" s="5"/>
      <c r="I900" s="10"/>
      <c r="J900" s="10"/>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row>
    <row r="901" ht="15.75" customHeight="1">
      <c r="A901" s="5"/>
      <c r="B901" s="5"/>
      <c r="C901" s="5"/>
      <c r="D901" s="5"/>
      <c r="E901" s="5"/>
      <c r="F901" s="5"/>
      <c r="G901" s="5"/>
      <c r="H901" s="5"/>
      <c r="I901" s="10"/>
      <c r="J901" s="10"/>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row>
    <row r="902" ht="15.75" customHeight="1">
      <c r="A902" s="5"/>
      <c r="B902" s="5"/>
      <c r="C902" s="5"/>
      <c r="D902" s="5"/>
      <c r="E902" s="5"/>
      <c r="F902" s="5"/>
      <c r="G902" s="5"/>
      <c r="H902" s="5"/>
      <c r="I902" s="10"/>
      <c r="J902" s="10"/>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row>
    <row r="903" ht="15.75" customHeight="1">
      <c r="A903" s="5"/>
      <c r="B903" s="5"/>
      <c r="C903" s="5"/>
      <c r="D903" s="5"/>
      <c r="E903" s="5"/>
      <c r="F903" s="5"/>
      <c r="G903" s="5"/>
      <c r="H903" s="5"/>
      <c r="I903" s="10"/>
      <c r="J903" s="10"/>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row>
    <row r="904" ht="15.75" customHeight="1">
      <c r="A904" s="5"/>
      <c r="B904" s="5"/>
      <c r="C904" s="5"/>
      <c r="D904" s="5"/>
      <c r="E904" s="5"/>
      <c r="F904" s="5"/>
      <c r="G904" s="5"/>
      <c r="H904" s="5"/>
      <c r="I904" s="10"/>
      <c r="J904" s="10"/>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row>
    <row r="905" ht="15.75" customHeight="1">
      <c r="A905" s="5"/>
      <c r="B905" s="5"/>
      <c r="C905" s="5"/>
      <c r="D905" s="5"/>
      <c r="E905" s="5"/>
      <c r="F905" s="5"/>
      <c r="G905" s="5"/>
      <c r="H905" s="5"/>
      <c r="I905" s="10"/>
      <c r="J905" s="10"/>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row>
    <row r="906" ht="15.75" customHeight="1">
      <c r="A906" s="5"/>
      <c r="B906" s="5"/>
      <c r="C906" s="5"/>
      <c r="D906" s="5"/>
      <c r="E906" s="5"/>
      <c r="F906" s="5"/>
      <c r="G906" s="5"/>
      <c r="H906" s="5"/>
      <c r="I906" s="10"/>
      <c r="J906" s="10"/>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row>
    <row r="907" ht="15.75" customHeight="1">
      <c r="A907" s="5"/>
      <c r="B907" s="5"/>
      <c r="C907" s="5"/>
      <c r="D907" s="5"/>
      <c r="E907" s="5"/>
      <c r="F907" s="5"/>
      <c r="G907" s="5"/>
      <c r="H907" s="5"/>
      <c r="I907" s="10"/>
      <c r="J907" s="10"/>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row>
    <row r="908" ht="15.75" customHeight="1">
      <c r="A908" s="5"/>
      <c r="B908" s="5"/>
      <c r="C908" s="5"/>
      <c r="D908" s="5"/>
      <c r="E908" s="5"/>
      <c r="F908" s="5"/>
      <c r="G908" s="5"/>
      <c r="H908" s="5"/>
      <c r="I908" s="10"/>
      <c r="J908" s="10"/>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row>
    <row r="909" ht="15.75" customHeight="1">
      <c r="A909" s="5"/>
      <c r="B909" s="5"/>
      <c r="C909" s="5"/>
      <c r="D909" s="5"/>
      <c r="E909" s="5"/>
      <c r="F909" s="5"/>
      <c r="G909" s="5"/>
      <c r="H909" s="5"/>
      <c r="I909" s="10"/>
      <c r="J909" s="10"/>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row>
    <row r="910" ht="15.75" customHeight="1">
      <c r="A910" s="5"/>
      <c r="B910" s="5"/>
      <c r="C910" s="5"/>
      <c r="D910" s="5"/>
      <c r="E910" s="5"/>
      <c r="F910" s="5"/>
      <c r="G910" s="5"/>
      <c r="H910" s="5"/>
      <c r="I910" s="10"/>
      <c r="J910" s="10"/>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row>
    <row r="911" ht="15.75" customHeight="1">
      <c r="A911" s="5"/>
      <c r="B911" s="5"/>
      <c r="C911" s="5"/>
      <c r="D911" s="5"/>
      <c r="E911" s="5"/>
      <c r="F911" s="5"/>
      <c r="G911" s="5"/>
      <c r="H911" s="5"/>
      <c r="I911" s="10"/>
      <c r="J911" s="10"/>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row>
    <row r="912" ht="15.75" customHeight="1">
      <c r="A912" s="5"/>
      <c r="B912" s="5"/>
      <c r="C912" s="5"/>
      <c r="D912" s="5"/>
      <c r="E912" s="5"/>
      <c r="F912" s="5"/>
      <c r="G912" s="5"/>
      <c r="H912" s="5"/>
      <c r="I912" s="10"/>
      <c r="J912" s="10"/>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row>
    <row r="913" ht="15.75" customHeight="1">
      <c r="A913" s="5"/>
      <c r="B913" s="5"/>
      <c r="C913" s="5"/>
      <c r="D913" s="5"/>
      <c r="E913" s="5"/>
      <c r="F913" s="5"/>
      <c r="G913" s="5"/>
      <c r="H913" s="5"/>
      <c r="I913" s="10"/>
      <c r="J913" s="10"/>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row>
    <row r="914" ht="15.75" customHeight="1">
      <c r="A914" s="5"/>
      <c r="B914" s="5"/>
      <c r="C914" s="5"/>
      <c r="D914" s="5"/>
      <c r="E914" s="5"/>
      <c r="F914" s="5"/>
      <c r="G914" s="5"/>
      <c r="H914" s="5"/>
      <c r="I914" s="10"/>
      <c r="J914" s="10"/>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row>
    <row r="915" ht="15.75" customHeight="1">
      <c r="A915" s="5"/>
      <c r="B915" s="5"/>
      <c r="C915" s="5"/>
      <c r="D915" s="5"/>
      <c r="E915" s="5"/>
      <c r="F915" s="5"/>
      <c r="G915" s="5"/>
      <c r="H915" s="5"/>
      <c r="I915" s="10"/>
      <c r="J915" s="10"/>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row>
    <row r="916" ht="15.75" customHeight="1">
      <c r="A916" s="5"/>
      <c r="B916" s="5"/>
      <c r="C916" s="5"/>
      <c r="D916" s="5"/>
      <c r="E916" s="5"/>
      <c r="F916" s="5"/>
      <c r="G916" s="5"/>
      <c r="H916" s="5"/>
      <c r="I916" s="10"/>
      <c r="J916" s="10"/>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row>
    <row r="917" ht="15.75" customHeight="1">
      <c r="A917" s="5"/>
      <c r="B917" s="5"/>
      <c r="C917" s="5"/>
      <c r="D917" s="5"/>
      <c r="E917" s="5"/>
      <c r="F917" s="5"/>
      <c r="G917" s="5"/>
      <c r="H917" s="5"/>
      <c r="I917" s="10"/>
      <c r="J917" s="10"/>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row>
    <row r="918" ht="15.75" customHeight="1">
      <c r="A918" s="5"/>
      <c r="B918" s="5"/>
      <c r="C918" s="5"/>
      <c r="D918" s="5"/>
      <c r="E918" s="5"/>
      <c r="F918" s="5"/>
      <c r="G918" s="5"/>
      <c r="H918" s="5"/>
      <c r="I918" s="10"/>
      <c r="J918" s="10"/>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row>
    <row r="919" ht="15.75" customHeight="1">
      <c r="A919" s="5"/>
      <c r="B919" s="5"/>
      <c r="C919" s="5"/>
      <c r="D919" s="5"/>
      <c r="E919" s="5"/>
      <c r="F919" s="5"/>
      <c r="G919" s="5"/>
      <c r="H919" s="5"/>
      <c r="I919" s="10"/>
      <c r="J919" s="10"/>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row>
    <row r="920" ht="15.75" customHeight="1">
      <c r="A920" s="5"/>
      <c r="B920" s="5"/>
      <c r="C920" s="5"/>
      <c r="D920" s="5"/>
      <c r="E920" s="5"/>
      <c r="F920" s="5"/>
      <c r="G920" s="5"/>
      <c r="H920" s="5"/>
      <c r="I920" s="10"/>
      <c r="J920" s="10"/>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row>
    <row r="921" ht="15.75" customHeight="1">
      <c r="A921" s="5"/>
      <c r="B921" s="5"/>
      <c r="C921" s="5"/>
      <c r="D921" s="5"/>
      <c r="E921" s="5"/>
      <c r="F921" s="5"/>
      <c r="G921" s="5"/>
      <c r="H921" s="5"/>
      <c r="I921" s="10"/>
      <c r="J921" s="10"/>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row>
    <row r="922" ht="15.75" customHeight="1">
      <c r="A922" s="5"/>
      <c r="B922" s="5"/>
      <c r="C922" s="5"/>
      <c r="D922" s="5"/>
      <c r="E922" s="5"/>
      <c r="F922" s="5"/>
      <c r="G922" s="5"/>
      <c r="H922" s="5"/>
      <c r="I922" s="10"/>
      <c r="J922" s="10"/>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row>
    <row r="923" ht="15.75" customHeight="1">
      <c r="A923" s="5"/>
      <c r="B923" s="5"/>
      <c r="C923" s="5"/>
      <c r="D923" s="5"/>
      <c r="E923" s="5"/>
      <c r="F923" s="5"/>
      <c r="G923" s="5"/>
      <c r="H923" s="5"/>
      <c r="I923" s="10"/>
      <c r="J923" s="10"/>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row>
    <row r="924" ht="15.75" customHeight="1">
      <c r="A924" s="5"/>
      <c r="B924" s="5"/>
      <c r="C924" s="5"/>
      <c r="D924" s="5"/>
      <c r="E924" s="5"/>
      <c r="F924" s="5"/>
      <c r="G924" s="5"/>
      <c r="H924" s="5"/>
      <c r="I924" s="10"/>
      <c r="J924" s="10"/>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row>
    <row r="925" ht="15.75" customHeight="1">
      <c r="A925" s="5"/>
      <c r="B925" s="5"/>
      <c r="C925" s="5"/>
      <c r="D925" s="5"/>
      <c r="E925" s="5"/>
      <c r="F925" s="5"/>
      <c r="G925" s="5"/>
      <c r="H925" s="5"/>
      <c r="I925" s="10"/>
      <c r="J925" s="10"/>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row>
    <row r="926" ht="15.75" customHeight="1">
      <c r="A926" s="5"/>
      <c r="B926" s="5"/>
      <c r="C926" s="5"/>
      <c r="D926" s="5"/>
      <c r="E926" s="5"/>
      <c r="F926" s="5"/>
      <c r="G926" s="5"/>
      <c r="H926" s="5"/>
      <c r="I926" s="10"/>
      <c r="J926" s="10"/>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row>
    <row r="927" ht="15.75" customHeight="1">
      <c r="A927" s="5"/>
      <c r="B927" s="5"/>
      <c r="C927" s="5"/>
      <c r="D927" s="5"/>
      <c r="E927" s="5"/>
      <c r="F927" s="5"/>
      <c r="G927" s="5"/>
      <c r="H927" s="5"/>
      <c r="I927" s="10"/>
      <c r="J927" s="10"/>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row>
    <row r="928" ht="15.75" customHeight="1">
      <c r="A928" s="5"/>
      <c r="B928" s="5"/>
      <c r="C928" s="5"/>
      <c r="D928" s="5"/>
      <c r="E928" s="5"/>
      <c r="F928" s="5"/>
      <c r="G928" s="5"/>
      <c r="H928" s="5"/>
      <c r="I928" s="10"/>
      <c r="J928" s="10"/>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row>
    <row r="929" ht="15.75" customHeight="1">
      <c r="A929" s="5"/>
      <c r="B929" s="5"/>
      <c r="C929" s="5"/>
      <c r="D929" s="5"/>
      <c r="E929" s="5"/>
      <c r="F929" s="5"/>
      <c r="G929" s="5"/>
      <c r="H929" s="5"/>
      <c r="I929" s="10"/>
      <c r="J929" s="10"/>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row>
    <row r="930" ht="15.75" customHeight="1">
      <c r="A930" s="5"/>
      <c r="B930" s="5"/>
      <c r="C930" s="5"/>
      <c r="D930" s="5"/>
      <c r="E930" s="5"/>
      <c r="F930" s="5"/>
      <c r="G930" s="5"/>
      <c r="H930" s="5"/>
      <c r="I930" s="10"/>
      <c r="J930" s="10"/>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row>
    <row r="931" ht="15.75" customHeight="1">
      <c r="A931" s="5"/>
      <c r="B931" s="5"/>
      <c r="C931" s="5"/>
      <c r="D931" s="5"/>
      <c r="E931" s="5"/>
      <c r="F931" s="5"/>
      <c r="G931" s="5"/>
      <c r="H931" s="5"/>
      <c r="I931" s="10"/>
      <c r="J931" s="10"/>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row>
    <row r="932" ht="15.75" customHeight="1">
      <c r="A932" s="5"/>
      <c r="B932" s="5"/>
      <c r="C932" s="5"/>
      <c r="D932" s="5"/>
      <c r="E932" s="5"/>
      <c r="F932" s="5"/>
      <c r="G932" s="5"/>
      <c r="H932" s="5"/>
      <c r="I932" s="10"/>
      <c r="J932" s="10"/>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row>
    <row r="933" ht="15.75" customHeight="1">
      <c r="A933" s="5"/>
      <c r="B933" s="5"/>
      <c r="C933" s="5"/>
      <c r="D933" s="5"/>
      <c r="E933" s="5"/>
      <c r="F933" s="5"/>
      <c r="G933" s="5"/>
      <c r="H933" s="5"/>
      <c r="I933" s="10"/>
      <c r="J933" s="10"/>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row>
    <row r="934" ht="15.75" customHeight="1">
      <c r="A934" s="5"/>
      <c r="B934" s="5"/>
      <c r="C934" s="5"/>
      <c r="D934" s="5"/>
      <c r="E934" s="5"/>
      <c r="F934" s="5"/>
      <c r="G934" s="5"/>
      <c r="H934" s="5"/>
      <c r="I934" s="10"/>
      <c r="J934" s="10"/>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row>
    <row r="935" ht="15.75" customHeight="1">
      <c r="A935" s="5"/>
      <c r="B935" s="5"/>
      <c r="C935" s="5"/>
      <c r="D935" s="5"/>
      <c r="E935" s="5"/>
      <c r="F935" s="5"/>
      <c r="G935" s="5"/>
      <c r="H935" s="5"/>
      <c r="I935" s="10"/>
      <c r="J935" s="10"/>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row>
    <row r="936" ht="15.75" customHeight="1">
      <c r="A936" s="5"/>
      <c r="B936" s="5"/>
      <c r="C936" s="5"/>
      <c r="D936" s="5"/>
      <c r="E936" s="5"/>
      <c r="F936" s="5"/>
      <c r="G936" s="5"/>
      <c r="H936" s="5"/>
      <c r="I936" s="10"/>
      <c r="J936" s="10"/>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row>
    <row r="937" ht="15.75" customHeight="1">
      <c r="A937" s="5"/>
      <c r="B937" s="5"/>
      <c r="C937" s="5"/>
      <c r="D937" s="5"/>
      <c r="E937" s="5"/>
      <c r="F937" s="5"/>
      <c r="G937" s="5"/>
      <c r="H937" s="5"/>
      <c r="I937" s="10"/>
      <c r="J937" s="10"/>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row>
    <row r="938" ht="15.75" customHeight="1">
      <c r="A938" s="5"/>
      <c r="B938" s="5"/>
      <c r="C938" s="5"/>
      <c r="D938" s="5"/>
      <c r="E938" s="5"/>
      <c r="F938" s="5"/>
      <c r="G938" s="5"/>
      <c r="H938" s="5"/>
      <c r="I938" s="10"/>
      <c r="J938" s="10"/>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row>
    <row r="939" ht="15.75" customHeight="1">
      <c r="A939" s="5"/>
      <c r="B939" s="5"/>
      <c r="C939" s="5"/>
      <c r="D939" s="5"/>
      <c r="E939" s="5"/>
      <c r="F939" s="5"/>
      <c r="G939" s="5"/>
      <c r="H939" s="5"/>
      <c r="I939" s="10"/>
      <c r="J939" s="10"/>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row>
    <row r="940" ht="15.75" customHeight="1">
      <c r="A940" s="5"/>
      <c r="B940" s="5"/>
      <c r="C940" s="5"/>
      <c r="D940" s="5"/>
      <c r="E940" s="5"/>
      <c r="F940" s="5"/>
      <c r="G940" s="5"/>
      <c r="H940" s="5"/>
      <c r="I940" s="10"/>
      <c r="J940" s="10"/>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row>
    <row r="941" ht="15.75" customHeight="1">
      <c r="A941" s="5"/>
      <c r="B941" s="5"/>
      <c r="C941" s="5"/>
      <c r="D941" s="5"/>
      <c r="E941" s="5"/>
      <c r="F941" s="5"/>
      <c r="G941" s="5"/>
      <c r="H941" s="5"/>
      <c r="I941" s="10"/>
      <c r="J941" s="10"/>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row>
    <row r="942" ht="15.75" customHeight="1">
      <c r="A942" s="5"/>
      <c r="B942" s="5"/>
      <c r="C942" s="5"/>
      <c r="D942" s="5"/>
      <c r="E942" s="5"/>
      <c r="F942" s="5"/>
      <c r="G942" s="5"/>
      <c r="H942" s="5"/>
      <c r="I942" s="10"/>
      <c r="J942" s="10"/>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row>
    <row r="943" ht="15.75" customHeight="1">
      <c r="A943" s="5"/>
      <c r="B943" s="5"/>
      <c r="C943" s="5"/>
      <c r="D943" s="5"/>
      <c r="E943" s="5"/>
      <c r="F943" s="5"/>
      <c r="G943" s="5"/>
      <c r="H943" s="5"/>
      <c r="I943" s="10"/>
      <c r="J943" s="10"/>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row>
    <row r="944" ht="15.75" customHeight="1">
      <c r="A944" s="5"/>
      <c r="B944" s="5"/>
      <c r="C944" s="5"/>
      <c r="D944" s="5"/>
      <c r="E944" s="5"/>
      <c r="F944" s="5"/>
      <c r="G944" s="5"/>
      <c r="H944" s="5"/>
      <c r="I944" s="10"/>
      <c r="J944" s="10"/>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row>
    <row r="945" ht="15.75" customHeight="1">
      <c r="A945" s="5"/>
      <c r="B945" s="5"/>
      <c r="C945" s="5"/>
      <c r="D945" s="5"/>
      <c r="E945" s="5"/>
      <c r="F945" s="5"/>
      <c r="G945" s="5"/>
      <c r="H945" s="5"/>
      <c r="I945" s="10"/>
      <c r="J945" s="10"/>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row>
    <row r="946" ht="15.75" customHeight="1">
      <c r="A946" s="5"/>
      <c r="B946" s="5"/>
      <c r="C946" s="5"/>
      <c r="D946" s="5"/>
      <c r="E946" s="5"/>
      <c r="F946" s="5"/>
      <c r="G946" s="5"/>
      <c r="H946" s="5"/>
      <c r="I946" s="10"/>
      <c r="J946" s="10"/>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row>
    <row r="947" ht="15.75" customHeight="1">
      <c r="A947" s="5"/>
      <c r="B947" s="5"/>
      <c r="C947" s="5"/>
      <c r="D947" s="5"/>
      <c r="E947" s="5"/>
      <c r="F947" s="5"/>
      <c r="G947" s="5"/>
      <c r="H947" s="5"/>
      <c r="I947" s="10"/>
      <c r="J947" s="10"/>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row>
    <row r="948" ht="15.75" customHeight="1">
      <c r="A948" s="5"/>
      <c r="B948" s="5"/>
      <c r="C948" s="5"/>
      <c r="D948" s="5"/>
      <c r="E948" s="5"/>
      <c r="F948" s="5"/>
      <c r="G948" s="5"/>
      <c r="H948" s="5"/>
      <c r="I948" s="10"/>
      <c r="J948" s="10"/>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row>
    <row r="949" ht="15.75" customHeight="1">
      <c r="A949" s="5"/>
      <c r="B949" s="5"/>
      <c r="C949" s="5"/>
      <c r="D949" s="5"/>
      <c r="E949" s="5"/>
      <c r="F949" s="5"/>
      <c r="G949" s="5"/>
      <c r="H949" s="5"/>
      <c r="I949" s="10"/>
      <c r="J949" s="10"/>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row>
    <row r="950" ht="15.75" customHeight="1">
      <c r="A950" s="5"/>
      <c r="B950" s="5"/>
      <c r="C950" s="5"/>
      <c r="D950" s="5"/>
      <c r="E950" s="5"/>
      <c r="F950" s="5"/>
      <c r="G950" s="5"/>
      <c r="H950" s="5"/>
      <c r="I950" s="10"/>
      <c r="J950" s="10"/>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row>
    <row r="951" ht="15.75" customHeight="1">
      <c r="A951" s="5"/>
      <c r="B951" s="5"/>
      <c r="C951" s="5"/>
      <c r="D951" s="5"/>
      <c r="E951" s="5"/>
      <c r="F951" s="5"/>
      <c r="G951" s="5"/>
      <c r="H951" s="5"/>
      <c r="I951" s="10"/>
      <c r="J951" s="10"/>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row>
    <row r="952" ht="15.75" customHeight="1">
      <c r="A952" s="5"/>
      <c r="B952" s="5"/>
      <c r="C952" s="5"/>
      <c r="D952" s="5"/>
      <c r="E952" s="5"/>
      <c r="F952" s="5"/>
      <c r="G952" s="5"/>
      <c r="H952" s="5"/>
      <c r="I952" s="10"/>
      <c r="J952" s="10"/>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row>
    <row r="953" ht="15.75" customHeight="1">
      <c r="A953" s="5"/>
      <c r="B953" s="5"/>
      <c r="C953" s="5"/>
      <c r="D953" s="5"/>
      <c r="E953" s="5"/>
      <c r="F953" s="5"/>
      <c r="G953" s="5"/>
      <c r="H953" s="5"/>
      <c r="I953" s="10"/>
      <c r="J953" s="10"/>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row>
    <row r="954" ht="15.75" customHeight="1">
      <c r="A954" s="5"/>
      <c r="B954" s="5"/>
      <c r="C954" s="5"/>
      <c r="D954" s="5"/>
      <c r="E954" s="5"/>
      <c r="F954" s="5"/>
      <c r="G954" s="5"/>
      <c r="H954" s="5"/>
      <c r="I954" s="10"/>
      <c r="J954" s="10"/>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row>
    <row r="955" ht="15.75" customHeight="1">
      <c r="A955" s="5"/>
      <c r="B955" s="5"/>
      <c r="C955" s="5"/>
      <c r="D955" s="5"/>
      <c r="E955" s="5"/>
      <c r="F955" s="5"/>
      <c r="G955" s="5"/>
      <c r="H955" s="5"/>
      <c r="I955" s="10"/>
      <c r="J955" s="10"/>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row>
    <row r="956" ht="15.75" customHeight="1">
      <c r="A956" s="5"/>
      <c r="B956" s="5"/>
      <c r="C956" s="5"/>
      <c r="D956" s="5"/>
      <c r="E956" s="5"/>
      <c r="F956" s="5"/>
      <c r="G956" s="5"/>
      <c r="H956" s="5"/>
      <c r="I956" s="10"/>
      <c r="J956" s="10"/>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row>
    <row r="957" ht="15.75" customHeight="1">
      <c r="A957" s="5"/>
      <c r="B957" s="5"/>
      <c r="C957" s="5"/>
      <c r="D957" s="5"/>
      <c r="E957" s="5"/>
      <c r="F957" s="5"/>
      <c r="G957" s="5"/>
      <c r="H957" s="5"/>
      <c r="I957" s="10"/>
      <c r="J957" s="10"/>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row>
    <row r="958" ht="15.75" customHeight="1">
      <c r="A958" s="5"/>
      <c r="B958" s="5"/>
      <c r="C958" s="5"/>
      <c r="D958" s="5"/>
      <c r="E958" s="5"/>
      <c r="F958" s="5"/>
      <c r="G958" s="5"/>
      <c r="H958" s="5"/>
      <c r="I958" s="10"/>
      <c r="J958" s="10"/>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row>
    <row r="959" ht="15.75" customHeight="1">
      <c r="A959" s="5"/>
      <c r="B959" s="5"/>
      <c r="C959" s="5"/>
      <c r="D959" s="5"/>
      <c r="E959" s="5"/>
      <c r="F959" s="5"/>
      <c r="G959" s="5"/>
      <c r="H959" s="5"/>
      <c r="I959" s="10"/>
      <c r="J959" s="10"/>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row>
    <row r="960" ht="15.75" customHeight="1">
      <c r="A960" s="5"/>
      <c r="B960" s="5"/>
      <c r="C960" s="5"/>
      <c r="D960" s="5"/>
      <c r="E960" s="5"/>
      <c r="F960" s="5"/>
      <c r="G960" s="5"/>
      <c r="H960" s="5"/>
      <c r="I960" s="10"/>
      <c r="J960" s="10"/>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row>
    <row r="961" ht="15.75" customHeight="1">
      <c r="A961" s="5"/>
      <c r="B961" s="5"/>
      <c r="C961" s="5"/>
      <c r="D961" s="5"/>
      <c r="E961" s="5"/>
      <c r="F961" s="5"/>
      <c r="G961" s="5"/>
      <c r="H961" s="5"/>
      <c r="I961" s="10"/>
      <c r="J961" s="10"/>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row>
    <row r="962" ht="15.75" customHeight="1">
      <c r="A962" s="5"/>
      <c r="B962" s="5"/>
      <c r="C962" s="5"/>
      <c r="D962" s="5"/>
      <c r="E962" s="5"/>
      <c r="F962" s="5"/>
      <c r="G962" s="5"/>
      <c r="H962" s="5"/>
      <c r="I962" s="10"/>
      <c r="J962" s="10"/>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row>
    <row r="963" ht="15.75" customHeight="1">
      <c r="A963" s="5"/>
      <c r="B963" s="5"/>
      <c r="C963" s="5"/>
      <c r="D963" s="5"/>
      <c r="E963" s="5"/>
      <c r="F963" s="5"/>
      <c r="G963" s="5"/>
      <c r="H963" s="5"/>
      <c r="I963" s="10"/>
      <c r="J963" s="10"/>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row>
    <row r="964" ht="15.75" customHeight="1">
      <c r="A964" s="5"/>
      <c r="B964" s="5"/>
      <c r="C964" s="5"/>
      <c r="D964" s="5"/>
      <c r="E964" s="5"/>
      <c r="F964" s="5"/>
      <c r="G964" s="5"/>
      <c r="H964" s="5"/>
      <c r="I964" s="10"/>
      <c r="J964" s="10"/>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row>
    <row r="965" ht="15.75" customHeight="1">
      <c r="A965" s="5"/>
      <c r="B965" s="5"/>
      <c r="C965" s="5"/>
      <c r="D965" s="5"/>
      <c r="E965" s="5"/>
      <c r="F965" s="5"/>
      <c r="G965" s="5"/>
      <c r="H965" s="5"/>
      <c r="I965" s="10"/>
      <c r="J965" s="10"/>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row>
    <row r="966" ht="15.75" customHeight="1">
      <c r="A966" s="5"/>
      <c r="B966" s="5"/>
      <c r="C966" s="5"/>
      <c r="D966" s="5"/>
      <c r="E966" s="5"/>
      <c r="F966" s="5"/>
      <c r="G966" s="5"/>
      <c r="H966" s="5"/>
      <c r="I966" s="10"/>
      <c r="J966" s="10"/>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row>
    <row r="967" ht="15.75" customHeight="1">
      <c r="A967" s="5"/>
      <c r="B967" s="5"/>
      <c r="C967" s="5"/>
      <c r="D967" s="5"/>
      <c r="E967" s="5"/>
      <c r="F967" s="5"/>
      <c r="G967" s="5"/>
      <c r="H967" s="5"/>
      <c r="I967" s="10"/>
      <c r="J967" s="10"/>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row>
    <row r="968" ht="15.75" customHeight="1">
      <c r="A968" s="5"/>
      <c r="B968" s="5"/>
      <c r="C968" s="5"/>
      <c r="D968" s="5"/>
      <c r="E968" s="5"/>
      <c r="F968" s="5"/>
      <c r="G968" s="5"/>
      <c r="H968" s="5"/>
      <c r="I968" s="10"/>
      <c r="J968" s="10"/>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row>
    <row r="969" ht="15.75" customHeight="1">
      <c r="A969" s="5"/>
      <c r="B969" s="5"/>
      <c r="C969" s="5"/>
      <c r="D969" s="5"/>
      <c r="E969" s="5"/>
      <c r="F969" s="5"/>
      <c r="G969" s="5"/>
      <c r="H969" s="5"/>
      <c r="I969" s="10"/>
      <c r="J969" s="10"/>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row>
    <row r="970" ht="15.75" customHeight="1">
      <c r="A970" s="5"/>
      <c r="B970" s="5"/>
      <c r="C970" s="5"/>
      <c r="D970" s="5"/>
      <c r="E970" s="5"/>
      <c r="F970" s="5"/>
      <c r="G970" s="5"/>
      <c r="H970" s="5"/>
      <c r="I970" s="10"/>
      <c r="J970" s="10"/>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row>
    <row r="971" ht="15.75" customHeight="1">
      <c r="A971" s="5"/>
      <c r="B971" s="5"/>
      <c r="C971" s="5"/>
      <c r="D971" s="5"/>
      <c r="E971" s="5"/>
      <c r="F971" s="5"/>
      <c r="G971" s="5"/>
      <c r="H971" s="5"/>
      <c r="I971" s="10"/>
      <c r="J971" s="10"/>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row>
    <row r="972" ht="15.75" customHeight="1">
      <c r="A972" s="5"/>
      <c r="B972" s="5"/>
      <c r="C972" s="5"/>
      <c r="D972" s="5"/>
      <c r="E972" s="5"/>
      <c r="F972" s="5"/>
      <c r="G972" s="5"/>
      <c r="H972" s="5"/>
      <c r="I972" s="10"/>
      <c r="J972" s="10"/>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row>
    <row r="973" ht="15.75" customHeight="1">
      <c r="A973" s="5"/>
      <c r="B973" s="5"/>
      <c r="C973" s="5"/>
      <c r="D973" s="5"/>
      <c r="E973" s="5"/>
      <c r="F973" s="5"/>
      <c r="G973" s="5"/>
      <c r="H973" s="5"/>
      <c r="I973" s="10"/>
      <c r="J973" s="10"/>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row>
    <row r="974" ht="15.75" customHeight="1">
      <c r="A974" s="5"/>
      <c r="B974" s="5"/>
      <c r="C974" s="5"/>
      <c r="D974" s="5"/>
      <c r="E974" s="5"/>
      <c r="F974" s="5"/>
      <c r="G974" s="5"/>
      <c r="H974" s="5"/>
      <c r="I974" s="10"/>
      <c r="J974" s="10"/>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row>
    <row r="975" ht="15.75" customHeight="1">
      <c r="A975" s="5"/>
      <c r="B975" s="5"/>
      <c r="C975" s="5"/>
      <c r="D975" s="5"/>
      <c r="E975" s="5"/>
      <c r="F975" s="5"/>
      <c r="G975" s="5"/>
      <c r="H975" s="5"/>
      <c r="I975" s="10"/>
      <c r="J975" s="10"/>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row>
    <row r="976" ht="15.75" customHeight="1">
      <c r="A976" s="5"/>
      <c r="B976" s="5"/>
      <c r="C976" s="5"/>
      <c r="D976" s="5"/>
      <c r="E976" s="5"/>
      <c r="F976" s="5"/>
      <c r="G976" s="5"/>
      <c r="H976" s="5"/>
      <c r="I976" s="10"/>
      <c r="J976" s="10"/>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row>
    <row r="977" ht="15.75" customHeight="1">
      <c r="A977" s="5"/>
      <c r="B977" s="5"/>
      <c r="C977" s="5"/>
      <c r="D977" s="5"/>
      <c r="E977" s="5"/>
      <c r="F977" s="5"/>
      <c r="G977" s="5"/>
      <c r="H977" s="5"/>
      <c r="I977" s="10"/>
      <c r="J977" s="10"/>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row>
    <row r="978" ht="15.75" customHeight="1">
      <c r="A978" s="5"/>
      <c r="B978" s="5"/>
      <c r="C978" s="5"/>
      <c r="D978" s="5"/>
      <c r="E978" s="5"/>
      <c r="F978" s="5"/>
      <c r="G978" s="5"/>
      <c r="H978" s="5"/>
      <c r="I978" s="10"/>
      <c r="J978" s="10"/>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row>
    <row r="979" ht="15.75" customHeight="1">
      <c r="A979" s="5"/>
      <c r="B979" s="5"/>
      <c r="C979" s="5"/>
      <c r="D979" s="5"/>
      <c r="E979" s="5"/>
      <c r="F979" s="5"/>
      <c r="G979" s="5"/>
      <c r="H979" s="5"/>
      <c r="I979" s="10"/>
      <c r="J979" s="10"/>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row>
    <row r="980" ht="15.75" customHeight="1">
      <c r="A980" s="5"/>
      <c r="B980" s="5"/>
      <c r="C980" s="5"/>
      <c r="D980" s="5"/>
      <c r="E980" s="5"/>
      <c r="F980" s="5"/>
      <c r="G980" s="5"/>
      <c r="H980" s="5"/>
      <c r="I980" s="10"/>
      <c r="J980" s="10"/>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row>
    <row r="981" ht="15.75" customHeight="1">
      <c r="A981" s="5"/>
      <c r="B981" s="5"/>
      <c r="C981" s="5"/>
      <c r="D981" s="5"/>
      <c r="E981" s="5"/>
      <c r="F981" s="5"/>
      <c r="G981" s="5"/>
      <c r="H981" s="5"/>
      <c r="I981" s="10"/>
      <c r="J981" s="10"/>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row>
    <row r="982" ht="15.75" customHeight="1">
      <c r="A982" s="5"/>
      <c r="B982" s="5"/>
      <c r="C982" s="5"/>
      <c r="D982" s="5"/>
      <c r="E982" s="5"/>
      <c r="F982" s="5"/>
      <c r="G982" s="5"/>
      <c r="H982" s="5"/>
      <c r="I982" s="10"/>
      <c r="J982" s="10"/>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row>
    <row r="983" ht="15.75" customHeight="1">
      <c r="A983" s="5"/>
      <c r="B983" s="5"/>
      <c r="C983" s="5"/>
      <c r="D983" s="5"/>
      <c r="E983" s="5"/>
      <c r="F983" s="5"/>
      <c r="G983" s="5"/>
      <c r="H983" s="5"/>
      <c r="I983" s="10"/>
      <c r="J983" s="10"/>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row>
    <row r="984" ht="15.75" customHeight="1">
      <c r="A984" s="5"/>
      <c r="B984" s="5"/>
      <c r="C984" s="5"/>
      <c r="D984" s="5"/>
      <c r="E984" s="5"/>
      <c r="F984" s="5"/>
      <c r="G984" s="5"/>
      <c r="H984" s="5"/>
      <c r="I984" s="10"/>
      <c r="J984" s="10"/>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row>
    <row r="985" ht="15.75" customHeight="1">
      <c r="A985" s="5"/>
      <c r="B985" s="5"/>
      <c r="C985" s="5"/>
      <c r="D985" s="5"/>
      <c r="E985" s="5"/>
      <c r="F985" s="5"/>
      <c r="G985" s="5"/>
      <c r="H985" s="5"/>
      <c r="I985" s="10"/>
      <c r="J985" s="10"/>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row>
    <row r="986" ht="15.75" customHeight="1">
      <c r="A986" s="5"/>
      <c r="B986" s="5"/>
      <c r="C986" s="5"/>
      <c r="D986" s="5"/>
      <c r="E986" s="5"/>
      <c r="F986" s="5"/>
      <c r="G986" s="5"/>
      <c r="H986" s="5"/>
      <c r="I986" s="10"/>
      <c r="J986" s="10"/>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row>
    <row r="987" ht="15.75" customHeight="1">
      <c r="A987" s="5"/>
      <c r="B987" s="5"/>
      <c r="C987" s="5"/>
      <c r="D987" s="5"/>
      <c r="E987" s="5"/>
      <c r="F987" s="5"/>
      <c r="G987" s="5"/>
      <c r="H987" s="5"/>
      <c r="I987" s="10"/>
      <c r="J987" s="10"/>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row>
    <row r="988" ht="15.75" customHeight="1">
      <c r="A988" s="5"/>
      <c r="B988" s="5"/>
      <c r="C988" s="5"/>
      <c r="D988" s="5"/>
      <c r="E988" s="5"/>
      <c r="F988" s="5"/>
      <c r="G988" s="5"/>
      <c r="H988" s="5"/>
      <c r="I988" s="10"/>
      <c r="J988" s="10"/>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row>
    <row r="989" ht="15.75" customHeight="1">
      <c r="A989" s="5"/>
      <c r="B989" s="5"/>
      <c r="C989" s="5"/>
      <c r="D989" s="5"/>
      <c r="E989" s="5"/>
      <c r="F989" s="5"/>
      <c r="G989" s="5"/>
      <c r="H989" s="5"/>
      <c r="I989" s="10"/>
      <c r="J989" s="10"/>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row>
    <row r="990" ht="15.75" customHeight="1">
      <c r="A990" s="5"/>
      <c r="B990" s="5"/>
      <c r="C990" s="5"/>
      <c r="D990" s="5"/>
      <c r="E990" s="5"/>
      <c r="F990" s="5"/>
      <c r="G990" s="5"/>
      <c r="H990" s="5"/>
      <c r="I990" s="10"/>
      <c r="J990" s="10"/>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row>
    <row r="991" ht="15.75" customHeight="1">
      <c r="A991" s="5"/>
      <c r="B991" s="5"/>
      <c r="C991" s="5"/>
      <c r="D991" s="5"/>
      <c r="E991" s="5"/>
      <c r="F991" s="5"/>
      <c r="G991" s="5"/>
      <c r="H991" s="5"/>
      <c r="I991" s="10"/>
      <c r="J991" s="10"/>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row>
    <row r="992" ht="15.75" customHeight="1">
      <c r="A992" s="5"/>
      <c r="B992" s="5"/>
      <c r="C992" s="5"/>
      <c r="D992" s="5"/>
      <c r="E992" s="5"/>
      <c r="F992" s="5"/>
      <c r="G992" s="5"/>
      <c r="H992" s="5"/>
      <c r="I992" s="10"/>
      <c r="J992" s="10"/>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row>
    <row r="993" ht="15.75" customHeight="1">
      <c r="A993" s="5"/>
      <c r="B993" s="5"/>
      <c r="C993" s="5"/>
      <c r="D993" s="5"/>
      <c r="E993" s="5"/>
      <c r="F993" s="5"/>
      <c r="G993" s="5"/>
      <c r="H993" s="5"/>
      <c r="I993" s="10"/>
      <c r="J993" s="10"/>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row>
    <row r="994" ht="15.75" customHeight="1">
      <c r="A994" s="5"/>
      <c r="B994" s="5"/>
      <c r="C994" s="5"/>
      <c r="D994" s="5"/>
      <c r="E994" s="5"/>
      <c r="F994" s="5"/>
      <c r="G994" s="5"/>
      <c r="H994" s="5"/>
      <c r="I994" s="10"/>
      <c r="J994" s="10"/>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row>
    <row r="995" ht="15.75" customHeight="1">
      <c r="A995" s="5"/>
      <c r="B995" s="5"/>
      <c r="C995" s="5"/>
      <c r="D995" s="5"/>
      <c r="E995" s="5"/>
      <c r="F995" s="5"/>
      <c r="G995" s="5"/>
      <c r="H995" s="5"/>
      <c r="I995" s="10"/>
      <c r="J995" s="10"/>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row>
    <row r="996" ht="15.75" customHeight="1">
      <c r="A996" s="5"/>
      <c r="B996" s="5"/>
      <c r="C996" s="5"/>
      <c r="D996" s="5"/>
      <c r="E996" s="5"/>
      <c r="F996" s="5"/>
      <c r="G996" s="5"/>
      <c r="H996" s="5"/>
      <c r="I996" s="10"/>
      <c r="J996" s="10"/>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row>
    <row r="997" ht="15.75" customHeight="1">
      <c r="A997" s="5"/>
      <c r="B997" s="5"/>
      <c r="C997" s="5"/>
      <c r="D997" s="5"/>
      <c r="E997" s="5"/>
      <c r="F997" s="5"/>
      <c r="G997" s="5"/>
      <c r="H997" s="5"/>
      <c r="I997" s="10"/>
      <c r="J997" s="10"/>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row>
    <row r="998" ht="15.75" customHeight="1">
      <c r="A998" s="5"/>
      <c r="B998" s="5"/>
      <c r="C998" s="5"/>
      <c r="D998" s="5"/>
      <c r="E998" s="5"/>
      <c r="F998" s="5"/>
      <c r="G998" s="5"/>
      <c r="H998" s="5"/>
      <c r="I998" s="10"/>
      <c r="J998" s="10"/>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row>
    <row r="999" ht="15.75" customHeight="1">
      <c r="A999" s="5"/>
      <c r="B999" s="5"/>
      <c r="C999" s="5"/>
      <c r="D999" s="5"/>
      <c r="E999" s="5"/>
      <c r="F999" s="5"/>
      <c r="G999" s="5"/>
      <c r="H999" s="5"/>
      <c r="I999" s="10"/>
      <c r="J999" s="10"/>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row>
    <row r="1000" ht="15.75" customHeight="1">
      <c r="A1000" s="5"/>
      <c r="B1000" s="5"/>
      <c r="C1000" s="5"/>
      <c r="D1000" s="5"/>
      <c r="E1000" s="5"/>
      <c r="F1000" s="5"/>
      <c r="G1000" s="5"/>
      <c r="H1000" s="5"/>
      <c r="I1000" s="10"/>
      <c r="J1000" s="10"/>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row>
    <row r="1001" ht="15.75" customHeight="1">
      <c r="A1001" s="5"/>
      <c r="B1001" s="5"/>
      <c r="C1001" s="5"/>
      <c r="D1001" s="5"/>
      <c r="E1001" s="5"/>
      <c r="F1001" s="5"/>
      <c r="G1001" s="5"/>
      <c r="H1001" s="5"/>
      <c r="I1001" s="10"/>
      <c r="J1001" s="10"/>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row>
    <row r="1002" ht="15.75" customHeight="1">
      <c r="A1002" s="5"/>
      <c r="B1002" s="5"/>
      <c r="C1002" s="5"/>
      <c r="D1002" s="5"/>
      <c r="E1002" s="5"/>
      <c r="F1002" s="5"/>
      <c r="G1002" s="5"/>
      <c r="H1002" s="5"/>
      <c r="I1002" s="10"/>
      <c r="J1002" s="10"/>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row>
    <row r="1003" ht="15.75" customHeight="1">
      <c r="A1003" s="5"/>
      <c r="B1003" s="5"/>
      <c r="C1003" s="5"/>
      <c r="D1003" s="5"/>
      <c r="E1003" s="5"/>
      <c r="F1003" s="5"/>
      <c r="G1003" s="5"/>
      <c r="H1003" s="5"/>
      <c r="I1003" s="10"/>
      <c r="J1003" s="10"/>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row>
    <row r="1004" ht="15.75" customHeight="1">
      <c r="A1004" s="5"/>
      <c r="B1004" s="5"/>
      <c r="C1004" s="5"/>
      <c r="D1004" s="5"/>
      <c r="E1004" s="5"/>
      <c r="F1004" s="5"/>
      <c r="G1004" s="5"/>
      <c r="H1004" s="5"/>
      <c r="I1004" s="10"/>
      <c r="J1004" s="10"/>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row>
    <row r="1005" ht="15.75" customHeight="1">
      <c r="A1005" s="5"/>
      <c r="B1005" s="5"/>
      <c r="C1005" s="5"/>
      <c r="D1005" s="5"/>
      <c r="E1005" s="5"/>
      <c r="F1005" s="5"/>
      <c r="G1005" s="5"/>
      <c r="H1005" s="5"/>
      <c r="I1005" s="10"/>
      <c r="J1005" s="10"/>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c r="AW1005" s="5"/>
      <c r="AX1005" s="5"/>
      <c r="AY1005" s="5"/>
      <c r="AZ1005" s="5"/>
      <c r="BA1005" s="5"/>
      <c r="BB1005" s="5"/>
      <c r="BC1005" s="5"/>
      <c r="BD1005" s="5"/>
      <c r="BE1005" s="5"/>
    </row>
    <row r="1006" ht="15.75" customHeight="1">
      <c r="A1006" s="5"/>
      <c r="B1006" s="5"/>
      <c r="C1006" s="5"/>
      <c r="D1006" s="5"/>
      <c r="E1006" s="5"/>
      <c r="F1006" s="5"/>
      <c r="G1006" s="5"/>
      <c r="H1006" s="5"/>
      <c r="I1006" s="10"/>
      <c r="J1006" s="10"/>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row>
    <row r="1007" ht="15.75" customHeight="1">
      <c r="A1007" s="5"/>
      <c r="B1007" s="5"/>
      <c r="C1007" s="5"/>
      <c r="D1007" s="5"/>
      <c r="E1007" s="5"/>
      <c r="F1007" s="5"/>
      <c r="G1007" s="5"/>
      <c r="H1007" s="5"/>
      <c r="I1007" s="10"/>
      <c r="J1007" s="10"/>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c r="AW1007" s="5"/>
      <c r="AX1007" s="5"/>
      <c r="AY1007" s="5"/>
      <c r="AZ1007" s="5"/>
      <c r="BA1007" s="5"/>
      <c r="BB1007" s="5"/>
      <c r="BC1007" s="5"/>
      <c r="BD1007" s="5"/>
      <c r="BE1007" s="5"/>
    </row>
    <row r="1008" ht="15.75" customHeight="1">
      <c r="A1008" s="5"/>
      <c r="B1008" s="5"/>
      <c r="C1008" s="5"/>
      <c r="D1008" s="5"/>
      <c r="E1008" s="5"/>
      <c r="F1008" s="5"/>
      <c r="G1008" s="5"/>
      <c r="H1008" s="5"/>
      <c r="I1008" s="10"/>
      <c r="J1008" s="10"/>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c r="AW1008" s="5"/>
      <c r="AX1008" s="5"/>
      <c r="AY1008" s="5"/>
      <c r="AZ1008" s="5"/>
      <c r="BA1008" s="5"/>
      <c r="BB1008" s="5"/>
      <c r="BC1008" s="5"/>
      <c r="BD1008" s="5"/>
      <c r="BE1008" s="5"/>
    </row>
    <row r="1009" ht="15.75" customHeight="1">
      <c r="A1009" s="5"/>
      <c r="B1009" s="5"/>
      <c r="C1009" s="5"/>
      <c r="D1009" s="5"/>
      <c r="E1009" s="5"/>
      <c r="F1009" s="5"/>
      <c r="G1009" s="5"/>
      <c r="H1009" s="5"/>
      <c r="I1009" s="10"/>
      <c r="J1009" s="10"/>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row>
    <row r="1010" ht="15.75" customHeight="1">
      <c r="A1010" s="5"/>
      <c r="B1010" s="5"/>
      <c r="C1010" s="5"/>
      <c r="D1010" s="5"/>
      <c r="E1010" s="5"/>
      <c r="F1010" s="5"/>
      <c r="G1010" s="5"/>
      <c r="H1010" s="5"/>
      <c r="I1010" s="10"/>
      <c r="J1010" s="10"/>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row>
    <row r="1011" ht="15.75" customHeight="1">
      <c r="A1011" s="5"/>
      <c r="B1011" s="5"/>
      <c r="C1011" s="5"/>
      <c r="D1011" s="5"/>
      <c r="E1011" s="5"/>
      <c r="F1011" s="5"/>
      <c r="G1011" s="5"/>
      <c r="H1011" s="5"/>
      <c r="I1011" s="10"/>
      <c r="J1011" s="10"/>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c r="AW1011" s="5"/>
      <c r="AX1011" s="5"/>
      <c r="AY1011" s="5"/>
      <c r="AZ1011" s="5"/>
      <c r="BA1011" s="5"/>
      <c r="BB1011" s="5"/>
      <c r="BC1011" s="5"/>
      <c r="BD1011" s="5"/>
      <c r="BE1011" s="5"/>
    </row>
    <row r="1012" ht="15.75" customHeight="1">
      <c r="A1012" s="5"/>
      <c r="B1012" s="5"/>
      <c r="C1012" s="5"/>
      <c r="D1012" s="5"/>
      <c r="E1012" s="5"/>
      <c r="F1012" s="5"/>
      <c r="G1012" s="5"/>
      <c r="H1012" s="5"/>
      <c r="I1012" s="10"/>
      <c r="J1012" s="10"/>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row>
    <row r="1013" ht="15.75" customHeight="1">
      <c r="A1013" s="5"/>
      <c r="B1013" s="5"/>
      <c r="C1013" s="5"/>
      <c r="D1013" s="5"/>
      <c r="E1013" s="5"/>
      <c r="F1013" s="5"/>
      <c r="G1013" s="5"/>
      <c r="H1013" s="5"/>
      <c r="I1013" s="10"/>
      <c r="J1013" s="10"/>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c r="AW1013" s="5"/>
      <c r="AX1013" s="5"/>
      <c r="AY1013" s="5"/>
      <c r="AZ1013" s="5"/>
      <c r="BA1013" s="5"/>
      <c r="BB1013" s="5"/>
      <c r="BC1013" s="5"/>
      <c r="BD1013" s="5"/>
      <c r="BE1013" s="5"/>
    </row>
    <row r="1014" ht="15.75" customHeight="1">
      <c r="A1014" s="5"/>
      <c r="B1014" s="5"/>
      <c r="C1014" s="5"/>
      <c r="D1014" s="5"/>
      <c r="E1014" s="5"/>
      <c r="F1014" s="5"/>
      <c r="G1014" s="5"/>
      <c r="H1014" s="5"/>
      <c r="I1014" s="10"/>
      <c r="J1014" s="10"/>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c r="AW1014" s="5"/>
      <c r="AX1014" s="5"/>
      <c r="AY1014" s="5"/>
      <c r="AZ1014" s="5"/>
      <c r="BA1014" s="5"/>
      <c r="BB1014" s="5"/>
      <c r="BC1014" s="5"/>
      <c r="BD1014" s="5"/>
      <c r="BE1014" s="5"/>
    </row>
    <row r="1015" ht="15.75" customHeight="1">
      <c r="A1015" s="5"/>
      <c r="B1015" s="5"/>
      <c r="C1015" s="5"/>
      <c r="D1015" s="5"/>
      <c r="E1015" s="5"/>
      <c r="F1015" s="5"/>
      <c r="G1015" s="5"/>
      <c r="H1015" s="5"/>
      <c r="I1015" s="10"/>
      <c r="J1015" s="10"/>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c r="AW1015" s="5"/>
      <c r="AX1015" s="5"/>
      <c r="AY1015" s="5"/>
      <c r="AZ1015" s="5"/>
      <c r="BA1015" s="5"/>
      <c r="BB1015" s="5"/>
      <c r="BC1015" s="5"/>
      <c r="BD1015" s="5"/>
      <c r="BE1015" s="5"/>
    </row>
    <row r="1016" ht="15.75" customHeight="1">
      <c r="A1016" s="5"/>
      <c r="B1016" s="5"/>
      <c r="C1016" s="5"/>
      <c r="D1016" s="5"/>
      <c r="E1016" s="5"/>
      <c r="F1016" s="5"/>
      <c r="G1016" s="5"/>
      <c r="H1016" s="5"/>
      <c r="I1016" s="10"/>
      <c r="J1016" s="10"/>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c r="BA1016" s="5"/>
      <c r="BB1016" s="5"/>
      <c r="BC1016" s="5"/>
      <c r="BD1016" s="5"/>
      <c r="BE1016" s="5"/>
    </row>
    <row r="1017" ht="15.75" customHeight="1">
      <c r="A1017" s="5"/>
      <c r="B1017" s="5"/>
      <c r="C1017" s="5"/>
      <c r="D1017" s="5"/>
      <c r="E1017" s="5"/>
      <c r="F1017" s="5"/>
      <c r="G1017" s="5"/>
      <c r="H1017" s="5"/>
      <c r="I1017" s="10"/>
      <c r="J1017" s="10"/>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c r="AW1017" s="5"/>
      <c r="AX1017" s="5"/>
      <c r="AY1017" s="5"/>
      <c r="AZ1017" s="5"/>
      <c r="BA1017" s="5"/>
      <c r="BB1017" s="5"/>
      <c r="BC1017" s="5"/>
      <c r="BD1017" s="5"/>
      <c r="BE1017" s="5"/>
    </row>
    <row r="1018" ht="15.75" customHeight="1">
      <c r="A1018" s="5"/>
      <c r="B1018" s="5"/>
      <c r="C1018" s="5"/>
      <c r="D1018" s="5"/>
      <c r="E1018" s="5"/>
      <c r="F1018" s="5"/>
      <c r="G1018" s="5"/>
      <c r="H1018" s="5"/>
      <c r="I1018" s="10"/>
      <c r="J1018" s="10"/>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row>
    <row r="1019" ht="15.75" customHeight="1">
      <c r="A1019" s="5"/>
      <c r="B1019" s="5"/>
      <c r="C1019" s="5"/>
      <c r="D1019" s="5"/>
      <c r="E1019" s="5"/>
      <c r="F1019" s="5"/>
      <c r="G1019" s="5"/>
      <c r="H1019" s="5"/>
      <c r="I1019" s="10"/>
      <c r="J1019" s="10"/>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c r="AW1019" s="5"/>
      <c r="AX1019" s="5"/>
      <c r="AY1019" s="5"/>
      <c r="AZ1019" s="5"/>
      <c r="BA1019" s="5"/>
      <c r="BB1019" s="5"/>
      <c r="BC1019" s="5"/>
      <c r="BD1019" s="5"/>
      <c r="BE1019" s="5"/>
    </row>
  </sheetData>
  <customSheetViews>
    <customSheetView guid="{64002C4B-B4E7-4D8F-8302-356701B43A53}" filter="1" showAutoFilter="1">
      <autoFilter ref="$B$1:$BA$1019"/>
    </customSheetView>
  </customSheetViews>
  <printOptions/>
  <pageMargins bottom="1.0" footer="0.0" header="0.0" left="0.75" right="0.75" top="1.0"/>
  <pageSetup orientation="landscape"/>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0.0"/>
    <col customWidth="1" min="3" max="3" width="19.0"/>
    <col customWidth="1" min="4" max="4" width="21.0"/>
    <col customWidth="1" min="5" max="5" width="18.0"/>
    <col customWidth="1" min="6" max="6" width="15.0"/>
    <col customWidth="1" min="7" max="7" width="16.0"/>
    <col customWidth="1" min="8" max="8" width="20.0"/>
    <col customWidth="1" min="9" max="9" width="19.0"/>
    <col customWidth="1" min="10" max="11" width="12.0"/>
    <col customWidth="1" min="12" max="12" width="15.0"/>
    <col customWidth="1" min="13" max="13" width="11.0"/>
    <col customWidth="1" min="14" max="14" width="10.0"/>
    <col customWidth="1" min="15" max="15" width="13.0"/>
    <col customWidth="1" min="16" max="16" width="12.0"/>
    <col customWidth="1" min="17" max="17" width="19.0"/>
    <col customWidth="1" min="18" max="18" width="14.0"/>
    <col customWidth="1" min="19" max="19" width="13.0"/>
    <col customWidth="1" min="20" max="20" width="22.0"/>
    <col customWidth="1" min="21" max="26" width="8.71"/>
  </cols>
  <sheetData>
    <row r="1">
      <c r="A1" s="15" t="s">
        <v>2</v>
      </c>
      <c r="B1" s="16" t="s">
        <v>999</v>
      </c>
      <c r="C1" s="15" t="s">
        <v>6</v>
      </c>
      <c r="D1" s="16" t="s">
        <v>34</v>
      </c>
      <c r="E1" s="15" t="s">
        <v>35</v>
      </c>
      <c r="F1" s="15" t="s">
        <v>19</v>
      </c>
      <c r="G1" s="15" t="s">
        <v>36</v>
      </c>
      <c r="H1" s="15" t="s">
        <v>37</v>
      </c>
      <c r="I1" s="16" t="s">
        <v>38</v>
      </c>
      <c r="J1" s="16" t="s">
        <v>39</v>
      </c>
      <c r="K1" s="16" t="s">
        <v>40</v>
      </c>
      <c r="L1" s="16" t="s">
        <v>41</v>
      </c>
      <c r="M1" s="16" t="s">
        <v>42</v>
      </c>
      <c r="N1" s="16" t="s">
        <v>43</v>
      </c>
      <c r="O1" s="16" t="s">
        <v>44</v>
      </c>
      <c r="P1" s="16" t="s">
        <v>45</v>
      </c>
      <c r="Q1" s="16" t="s">
        <v>46</v>
      </c>
      <c r="R1" s="16" t="s">
        <v>47</v>
      </c>
      <c r="S1" s="16" t="s">
        <v>48</v>
      </c>
      <c r="T1" s="16" t="s">
        <v>1000</v>
      </c>
    </row>
    <row r="2">
      <c r="A2" s="17" t="s">
        <v>55</v>
      </c>
      <c r="C2" s="17" t="s">
        <v>57</v>
      </c>
      <c r="F2" s="17">
        <v>7.00911724E8</v>
      </c>
      <c r="G2" s="17" t="s">
        <v>63</v>
      </c>
      <c r="K2" s="17" t="s">
        <v>68</v>
      </c>
    </row>
    <row r="3">
      <c r="A3" s="17" t="s">
        <v>71</v>
      </c>
      <c r="C3" s="17" t="s">
        <v>57</v>
      </c>
      <c r="G3" s="17"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3.0"/>
    <col customWidth="1" min="3" max="3" width="14.0"/>
    <col customWidth="1" min="4" max="4" width="17.0"/>
    <col customWidth="1" min="5" max="5" width="16.0"/>
    <col customWidth="1" min="6" max="6" width="20.0"/>
    <col customWidth="1" min="7" max="7" width="17.0"/>
    <col customWidth="1" min="8" max="8" width="14.0"/>
    <col customWidth="1" min="9" max="9" width="15.0"/>
    <col customWidth="1" min="10" max="10" width="18.0"/>
    <col customWidth="1" min="11" max="11" width="17.0"/>
    <col customWidth="1" min="12" max="12" width="21.0"/>
    <col customWidth="1" min="13" max="26" width="8.71"/>
  </cols>
  <sheetData>
    <row r="1">
      <c r="A1" s="16" t="s">
        <v>8</v>
      </c>
      <c r="B1" s="16" t="s">
        <v>9</v>
      </c>
      <c r="C1" s="16" t="s">
        <v>49</v>
      </c>
      <c r="D1" s="16" t="s">
        <v>7</v>
      </c>
      <c r="E1" s="16" t="s">
        <v>50</v>
      </c>
      <c r="F1" s="16" t="s">
        <v>51</v>
      </c>
      <c r="G1" s="16" t="s">
        <v>12</v>
      </c>
      <c r="H1" s="16" t="s">
        <v>13</v>
      </c>
      <c r="I1" s="16" t="s">
        <v>10</v>
      </c>
      <c r="J1" s="16" t="s">
        <v>11</v>
      </c>
      <c r="K1" s="16" t="s">
        <v>52</v>
      </c>
      <c r="L1" s="16" t="s">
        <v>53</v>
      </c>
    </row>
    <row r="2">
      <c r="A2" s="17" t="s">
        <v>58</v>
      </c>
      <c r="G2" s="17" t="s">
        <v>61</v>
      </c>
      <c r="H2" s="17" t="s">
        <v>61</v>
      </c>
      <c r="I2" s="17" t="s">
        <v>60</v>
      </c>
      <c r="J2" s="17" t="s">
        <v>61</v>
      </c>
      <c r="K2" s="17" t="s">
        <v>69</v>
      </c>
      <c r="L2" s="17">
        <v>1001.0</v>
      </c>
    </row>
    <row r="3">
      <c r="A3" s="17" t="s">
        <v>58</v>
      </c>
      <c r="G3" s="17" t="s">
        <v>61</v>
      </c>
      <c r="H3" s="17" t="s">
        <v>72</v>
      </c>
      <c r="I3" s="17" t="s">
        <v>60</v>
      </c>
      <c r="J3" s="17" t="s">
        <v>61</v>
      </c>
      <c r="K3" s="17" t="s">
        <v>69</v>
      </c>
      <c r="L3" s="17">
        <v>1001.0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8" t="s">
        <v>1001</v>
      </c>
    </row>
    <row r="3">
      <c r="A3" s="19" t="s">
        <v>1002</v>
      </c>
    </row>
    <row r="4">
      <c r="A4" s="20" t="s">
        <v>1003</v>
      </c>
    </row>
    <row r="5">
      <c r="A5" s="20" t="s">
        <v>1004</v>
      </c>
    </row>
    <row r="6">
      <c r="A6" s="20" t="s">
        <v>1005</v>
      </c>
    </row>
    <row r="8">
      <c r="A8" s="19" t="s">
        <v>1006</v>
      </c>
    </row>
    <row r="9">
      <c r="A9" s="20" t="s">
        <v>1007</v>
      </c>
    </row>
    <row r="10">
      <c r="A10" s="20" t="s">
        <v>1008</v>
      </c>
    </row>
    <row r="11">
      <c r="A11" s="20" t="s">
        <v>1009</v>
      </c>
    </row>
    <row r="12">
      <c r="A12" s="20" t="s">
        <v>1010</v>
      </c>
    </row>
    <row r="13">
      <c r="A13" s="20" t="s">
        <v>1011</v>
      </c>
    </row>
    <row r="14">
      <c r="A14" s="20" t="s">
        <v>1012</v>
      </c>
    </row>
    <row r="16">
      <c r="A16" s="19" t="s">
        <v>1013</v>
      </c>
    </row>
    <row r="17">
      <c r="A17" s="20" t="s">
        <v>1014</v>
      </c>
    </row>
    <row r="18">
      <c r="A18" s="20" t="s">
        <v>1015</v>
      </c>
    </row>
    <row r="19">
      <c r="A19" s="20" t="s">
        <v>1016</v>
      </c>
    </row>
    <row r="20">
      <c r="A20" s="20" t="s">
        <v>1017</v>
      </c>
    </row>
    <row r="21" ht="15.75" customHeight="1">
      <c r="A21" s="20" t="s">
        <v>1018</v>
      </c>
    </row>
    <row r="22" ht="15.75" customHeight="1">
      <c r="A22" s="20" t="s">
        <v>1019</v>
      </c>
    </row>
    <row r="23" ht="15.75" customHeight="1">
      <c r="A23" s="20" t="s">
        <v>1020</v>
      </c>
    </row>
    <row r="24" ht="15.75" customHeight="1">
      <c r="A24" s="20" t="s">
        <v>1021</v>
      </c>
    </row>
    <row r="25" ht="15.75" customHeight="1">
      <c r="A25" s="20" t="s">
        <v>1022</v>
      </c>
    </row>
    <row r="26" ht="15.75" customHeight="1">
      <c r="A26" s="20" t="s">
        <v>1023</v>
      </c>
    </row>
    <row r="27" ht="15.75" customHeight="1">
      <c r="A27" s="20" t="s">
        <v>1024</v>
      </c>
    </row>
    <row r="28" ht="15.75" customHeight="1">
      <c r="A28" s="20" t="s">
        <v>1025</v>
      </c>
    </row>
    <row r="29" ht="15.75" customHeight="1">
      <c r="A29" s="20" t="s">
        <v>1026</v>
      </c>
    </row>
    <row r="30" ht="15.75" customHeight="1">
      <c r="A30" s="20" t="s">
        <v>1027</v>
      </c>
    </row>
    <row r="31" ht="15.75" customHeight="1"/>
    <row r="32" ht="15.75" customHeight="1">
      <c r="A32" s="19" t="s">
        <v>1028</v>
      </c>
    </row>
    <row r="33" ht="15.75" customHeight="1">
      <c r="A33" s="20" t="s">
        <v>1029</v>
      </c>
    </row>
    <row r="34" ht="15.75" customHeight="1">
      <c r="A34" s="20" t="s">
        <v>1030</v>
      </c>
    </row>
    <row r="35" ht="15.75" customHeight="1">
      <c r="A35" s="20" t="s">
        <v>1031</v>
      </c>
    </row>
    <row r="36" ht="15.75" customHeight="1">
      <c r="A36" s="20" t="s">
        <v>1032</v>
      </c>
    </row>
    <row r="37" ht="15.75" customHeight="1">
      <c r="A37" s="20" t="s">
        <v>1033</v>
      </c>
    </row>
    <row r="38" ht="15.75" customHeight="1"/>
    <row r="39" ht="15.75" customHeight="1">
      <c r="A39" s="19" t="s">
        <v>1034</v>
      </c>
    </row>
    <row r="40" ht="15.75" customHeight="1">
      <c r="A40" s="20" t="s">
        <v>1035</v>
      </c>
    </row>
    <row r="41" ht="15.75" customHeight="1">
      <c r="A41" s="20" t="s">
        <v>1036</v>
      </c>
    </row>
    <row r="42" ht="15.75" customHeight="1">
      <c r="A42" s="20" t="s">
        <v>1037</v>
      </c>
    </row>
    <row r="43" ht="15.75" customHeight="1">
      <c r="A43" s="20" t="s">
        <v>1038</v>
      </c>
    </row>
    <row r="44" ht="15.75" customHeight="1">
      <c r="A44" s="20" t="s">
        <v>1039</v>
      </c>
    </row>
    <row r="45" ht="15.75" customHeight="1"/>
    <row r="46" ht="15.75" customHeight="1">
      <c r="A46" s="19" t="s">
        <v>1040</v>
      </c>
    </row>
    <row r="47" ht="15.75" customHeight="1">
      <c r="A47" s="20" t="s">
        <v>1041</v>
      </c>
    </row>
    <row r="48" ht="15.75" customHeight="1">
      <c r="A48" s="20" t="s">
        <v>1042</v>
      </c>
    </row>
    <row r="49" ht="15.75" customHeight="1">
      <c r="A49" s="20" t="s">
        <v>1043</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1.0"/>
    <col customWidth="1" min="3" max="3" width="20.0"/>
    <col customWidth="1" min="4" max="4" width="22.0"/>
    <col customWidth="1" min="5" max="5" width="19.0"/>
    <col customWidth="1" min="6" max="6" width="16.0"/>
    <col customWidth="1" min="7" max="7" width="17.0"/>
    <col customWidth="1" min="8" max="8" width="24.0"/>
    <col customWidth="1" min="9" max="9" width="20.0"/>
    <col customWidth="1" min="10" max="10" width="13.0"/>
    <col customWidth="1" min="11" max="11" width="17.0"/>
    <col customWidth="1" min="12" max="12" width="11.0"/>
    <col customWidth="1" min="13" max="14" width="13.0"/>
    <col customWidth="1" min="15" max="15" width="10.0"/>
    <col customWidth="1" min="16" max="16" width="7.0"/>
    <col customWidth="1" min="17" max="17" width="11.0"/>
    <col customWidth="1" min="18" max="18" width="22.0"/>
    <col customWidth="1" min="19" max="19" width="17.0"/>
    <col customWidth="1" min="20" max="21" width="11.0"/>
    <col customWidth="1" min="22" max="22" width="17.0"/>
    <col customWidth="1" min="23" max="26" width="8.71"/>
  </cols>
  <sheetData>
    <row r="1">
      <c r="A1" s="15" t="s">
        <v>1</v>
      </c>
      <c r="B1" s="16" t="s">
        <v>33</v>
      </c>
      <c r="C1" s="15" t="s">
        <v>5</v>
      </c>
      <c r="D1" s="16" t="s">
        <v>20</v>
      </c>
      <c r="E1" s="15" t="s">
        <v>21</v>
      </c>
      <c r="F1" s="15" t="s">
        <v>22</v>
      </c>
      <c r="G1" s="15" t="s">
        <v>16</v>
      </c>
      <c r="H1" s="15" t="s">
        <v>14</v>
      </c>
      <c r="I1" s="16" t="s">
        <v>15</v>
      </c>
      <c r="J1" s="16" t="s">
        <v>23</v>
      </c>
      <c r="K1" s="15" t="s">
        <v>24</v>
      </c>
      <c r="L1" s="15" t="s">
        <v>1044</v>
      </c>
      <c r="M1" s="16" t="s">
        <v>25</v>
      </c>
      <c r="N1" s="16" t="s">
        <v>26</v>
      </c>
      <c r="O1" s="16" t="s">
        <v>27</v>
      </c>
      <c r="P1" s="16" t="s">
        <v>17</v>
      </c>
      <c r="Q1" s="16" t="s">
        <v>28</v>
      </c>
      <c r="R1" s="16" t="s">
        <v>29</v>
      </c>
      <c r="S1" s="16" t="s">
        <v>30</v>
      </c>
      <c r="T1" s="16" t="s">
        <v>31</v>
      </c>
      <c r="U1" s="16" t="s">
        <v>32</v>
      </c>
      <c r="V1" s="16" t="s">
        <v>18</v>
      </c>
    </row>
    <row r="2">
      <c r="A2" s="21" t="s">
        <v>1045</v>
      </c>
      <c r="B2" s="21"/>
      <c r="C2" s="21" t="s">
        <v>1046</v>
      </c>
      <c r="D2" s="21" t="s">
        <v>1047</v>
      </c>
      <c r="E2" s="21" t="s">
        <v>1048</v>
      </c>
      <c r="F2" s="21" t="s">
        <v>1049</v>
      </c>
      <c r="G2" s="21" t="s">
        <v>1050</v>
      </c>
      <c r="H2" s="21" t="s">
        <v>1051</v>
      </c>
      <c r="I2" s="21"/>
      <c r="J2" s="21" t="s">
        <v>1052</v>
      </c>
      <c r="K2" s="21" t="s">
        <v>1053</v>
      </c>
      <c r="L2" s="21" t="s">
        <v>1054</v>
      </c>
      <c r="M2" s="21" t="s">
        <v>1055</v>
      </c>
      <c r="N2" s="21" t="s">
        <v>1056</v>
      </c>
      <c r="O2" s="21" t="s">
        <v>67</v>
      </c>
      <c r="P2" s="21"/>
      <c r="Q2" s="21"/>
      <c r="R2" s="21"/>
      <c r="S2" s="21"/>
      <c r="T2" s="21"/>
      <c r="U2" s="21"/>
      <c r="V2" s="21"/>
    </row>
    <row r="3">
      <c r="A3" s="21" t="s">
        <v>1057</v>
      </c>
      <c r="B3" s="21"/>
      <c r="C3" s="21" t="s">
        <v>1058</v>
      </c>
      <c r="D3" s="21" t="s">
        <v>1059</v>
      </c>
      <c r="E3" s="21" t="s">
        <v>1060</v>
      </c>
      <c r="F3" s="21" t="s">
        <v>1061</v>
      </c>
      <c r="G3" s="21" t="s">
        <v>1062</v>
      </c>
      <c r="H3" s="21" t="s">
        <v>1063</v>
      </c>
      <c r="I3" s="21"/>
      <c r="J3" s="21" t="s">
        <v>1052</v>
      </c>
      <c r="K3" s="21" t="s">
        <v>1053</v>
      </c>
      <c r="L3" s="21" t="s">
        <v>1064</v>
      </c>
      <c r="M3" s="21" t="s">
        <v>1065</v>
      </c>
      <c r="N3" s="21" t="s">
        <v>1056</v>
      </c>
      <c r="O3" s="21" t="s">
        <v>67</v>
      </c>
      <c r="P3" s="21"/>
      <c r="Q3" s="21"/>
      <c r="R3" s="21"/>
      <c r="S3" s="21"/>
      <c r="T3" s="21"/>
      <c r="U3" s="21"/>
      <c r="V3" s="21"/>
    </row>
    <row r="4">
      <c r="A4" s="21" t="s">
        <v>1066</v>
      </c>
      <c r="B4" s="21" t="s">
        <v>1067</v>
      </c>
      <c r="C4" s="21" t="s">
        <v>1068</v>
      </c>
      <c r="D4" s="21" t="s">
        <v>1069</v>
      </c>
      <c r="E4" s="21" t="s">
        <v>1070</v>
      </c>
      <c r="F4" s="21" t="s">
        <v>1071</v>
      </c>
      <c r="G4" s="21" t="s">
        <v>1050</v>
      </c>
      <c r="H4" s="21" t="s">
        <v>1072</v>
      </c>
      <c r="I4" s="21"/>
      <c r="J4" s="21" t="s">
        <v>1052</v>
      </c>
      <c r="K4" s="21" t="s">
        <v>1053</v>
      </c>
      <c r="L4" s="21" t="s">
        <v>1073</v>
      </c>
      <c r="M4" s="21" t="s">
        <v>1074</v>
      </c>
      <c r="N4" s="21" t="s">
        <v>1056</v>
      </c>
      <c r="O4" s="21" t="s">
        <v>67</v>
      </c>
      <c r="P4" s="21"/>
      <c r="Q4" s="21"/>
      <c r="R4" s="21"/>
      <c r="S4" s="21"/>
      <c r="T4" s="21"/>
      <c r="U4" s="21"/>
      <c r="V4"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